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1400" windowHeight="7476" tabRatio="600" firstSheet="0" activeTab="4" autoFilterDateGrouping="1"/>
  </bookViews>
  <sheets>
    <sheet xmlns:r="http://schemas.openxmlformats.org/officeDocument/2006/relationships" name="1 - Infos Générales" sheetId="1" state="visible" r:id="rId1"/>
    <sheet xmlns:r="http://schemas.openxmlformats.org/officeDocument/2006/relationships" name="2 - Bilan Actif" sheetId="2" state="visible" r:id="rId2"/>
    <sheet xmlns:r="http://schemas.openxmlformats.org/officeDocument/2006/relationships" name="3 - Bilan Passif" sheetId="3" state="visible" r:id="rId3"/>
    <sheet xmlns:r="http://schemas.openxmlformats.org/officeDocument/2006/relationships" name="4 - CPC" sheetId="4" state="visible" r:id="rId4"/>
    <sheet xmlns:r="http://schemas.openxmlformats.org/officeDocument/2006/relationships" name="5 - Tableau de Bord" sheetId="5" state="visible" r:id="rId5"/>
  </sheets>
  <definedNames/>
  <calcPr calcId="162913" fullCalcOnLoad="1"/>
</workbook>
</file>

<file path=xl/styles.xml><?xml version="1.0" encoding="utf-8"?>
<styleSheet xmlns="http://schemas.openxmlformats.org/spreadsheetml/2006/main">
  <numFmts count="2">
    <numFmt numFmtId="164" formatCode="#,##0.00;\(#,##0.00\);&quot;-&quot;"/>
    <numFmt numFmtId="165" formatCode="_-* #,##0.00\ _€_-;\-* #,##0.00\ _€_-;_-* &quot;-&quot;??\ _€_-;_-@_-"/>
  </numFmts>
  <fonts count="11">
    <font>
      <name val="Calibri"/>
      <family val="2"/>
      <color theme="1"/>
      <sz val="11"/>
      <scheme val="minor"/>
    </font>
    <font>
      <name val="Arial"/>
      <b val="1"/>
      <color rgb="FFFFFFFF"/>
      <sz val="14"/>
    </font>
    <font>
      <name val="Arial"/>
      <b val="1"/>
      <color rgb="FFFFFFFF"/>
      <sz val="11"/>
    </font>
    <font>
      <name val="Arial"/>
      <b val="1"/>
      <color rgb="FFFFFFFF"/>
      <sz val="10"/>
    </font>
    <font>
      <name val="Arial"/>
      <b val="1"/>
      <color rgb="FF1F3864"/>
      <sz val="10"/>
    </font>
    <font>
      <name val="Arial"/>
      <color rgb="FF1F3864"/>
      <sz val="10"/>
    </font>
    <font>
      <name val="Arial"/>
      <b val="1"/>
      <color rgb="FFFFFFFF"/>
      <sz val="13"/>
    </font>
    <font>
      <name val="Arial"/>
      <color rgb="FF000000"/>
      <sz val="10"/>
    </font>
    <font>
      <name val="Arial"/>
      <color rgb="FF888888"/>
      <sz val="9"/>
    </font>
    <font>
      <name val="Calibri"/>
      <family val="2"/>
      <color theme="1"/>
      <sz val="11"/>
      <scheme val="minor"/>
    </font>
    <font>
      <name val="Arial"/>
      <family val="2"/>
      <color rgb="FF000000"/>
      <sz val="10"/>
    </font>
  </fonts>
  <fills count="6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DEEAF1"/>
      </patternFill>
    </fill>
    <fill>
      <patternFill patternType="solid">
        <fgColor rgb="FFFFFFFF"/>
      </patternFill>
    </fill>
  </fills>
  <borders count="6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/>
      <right/>
      <top style="thin">
        <color rgb="FFAAAAAA"/>
      </top>
      <bottom/>
      <diagonal/>
    </border>
    <border>
      <left/>
      <right style="thin">
        <color rgb="FFAAAAAA"/>
      </right>
      <top style="thin">
        <color rgb="FFAAAAAA"/>
      </top>
      <bottom/>
      <diagonal/>
    </border>
    <border>
      <left/>
      <right style="thin">
        <color rgb="FFAAAAAA"/>
      </right>
      <top style="thin">
        <color rgb="FFAAAAAA"/>
      </top>
      <bottom style="thin">
        <color rgb="FFAAAAAA"/>
      </bottom>
      <diagonal/>
    </border>
    <border>
      <left/>
      <right/>
      <top style="thin">
        <color rgb="FFAAAAAA"/>
      </top>
      <bottom style="thin">
        <color rgb="FFAAAAAA"/>
      </bottom>
      <diagonal/>
    </border>
  </borders>
  <cellStyleXfs count="2">
    <xf numFmtId="0" fontId="9" fillId="0" borderId="0"/>
    <xf numFmtId="43" fontId="9" fillId="0" borderId="0"/>
  </cellStyleXfs>
  <cellXfs count="38">
    <xf numFmtId="0" fontId="0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indent="1"/>
    </xf>
    <xf numFmtId="0" fontId="5" fillId="4" borderId="1" applyAlignment="1" pivotButton="0" quotePrefix="0" xfId="0">
      <alignment horizontal="left" vertical="center" indent="1"/>
    </xf>
    <xf numFmtId="0" fontId="4" fillId="5" borderId="1" applyAlignment="1" pivotButton="0" quotePrefix="0" xfId="0">
      <alignment horizontal="left" vertical="center" indent="1"/>
    </xf>
    <xf numFmtId="0" fontId="5" fillId="5" borderId="1" applyAlignment="1" pivotButton="0" quotePrefix="0" xfId="0">
      <alignment horizontal="left" vertical="center" indent="1"/>
    </xf>
    <xf numFmtId="0" fontId="3" fillId="3" borderId="1" applyAlignment="1" pivotButton="0" quotePrefix="0" xfId="0">
      <alignment horizontal="left" vertical="center"/>
    </xf>
    <xf numFmtId="164" fontId="3" fillId="3" borderId="1" applyAlignment="1" pivotButton="0" quotePrefix="0" xfId="0">
      <alignment horizontal="right" vertical="center"/>
    </xf>
    <xf numFmtId="0" fontId="7" fillId="4" borderId="1" applyAlignment="1" pivotButton="0" quotePrefix="0" xfId="0">
      <alignment horizontal="left" vertical="center" indent="2"/>
    </xf>
    <xf numFmtId="164" fontId="7" fillId="4" borderId="1" applyAlignment="1" pivotButton="0" quotePrefix="0" xfId="0">
      <alignment horizontal="right" vertical="center"/>
    </xf>
    <xf numFmtId="0" fontId="7" fillId="5" borderId="1" applyAlignment="1" pivotButton="0" quotePrefix="0" xfId="0">
      <alignment horizontal="left" vertical="center" indent="2"/>
    </xf>
    <xf numFmtId="164" fontId="7" fillId="5" borderId="1" applyAlignment="1" pivotButton="0" quotePrefix="0" xfId="0">
      <alignment horizontal="right" vertical="center"/>
    </xf>
    <xf numFmtId="0" fontId="3" fillId="2" borderId="1" applyAlignment="1" pivotButton="0" quotePrefix="0" xfId="0">
      <alignment horizontal="left" vertical="center"/>
    </xf>
    <xf numFmtId="164" fontId="3" fillId="2" borderId="1" applyAlignment="1" pivotButton="0" quotePrefix="0" xfId="0">
      <alignment horizontal="right" vertical="center"/>
    </xf>
    <xf numFmtId="0" fontId="7" fillId="5" borderId="1" applyAlignment="1" pivotButton="0" quotePrefix="0" xfId="0">
      <alignment horizontal="left" vertical="center"/>
    </xf>
    <xf numFmtId="0" fontId="7" fillId="4" borderId="1" applyAlignment="1" pivotButton="0" quotePrefix="0" xfId="0">
      <alignment horizontal="left" vertical="center"/>
    </xf>
    <xf numFmtId="0" fontId="7" fillId="5" borderId="1" applyAlignment="1" pivotButton="0" quotePrefix="0" xfId="0">
      <alignment horizontal="left" vertical="center" indent="1"/>
    </xf>
    <xf numFmtId="164" fontId="5" fillId="5" borderId="1" applyAlignment="1" pivotButton="0" quotePrefix="0" xfId="0">
      <alignment horizontal="right" vertical="center"/>
    </xf>
    <xf numFmtId="0" fontId="8" fillId="5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left" vertical="center" indent="1"/>
    </xf>
    <xf numFmtId="164" fontId="5" fillId="4" borderId="1" applyAlignment="1" pivotButton="0" quotePrefix="0" xfId="0">
      <alignment horizontal="right" vertical="center"/>
    </xf>
    <xf numFmtId="0" fontId="8" fillId="4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 indent="1"/>
    </xf>
    <xf numFmtId="0" fontId="3" fillId="3" borderId="1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left" vertical="center" indent="1"/>
    </xf>
    <xf numFmtId="165" fontId="3" fillId="2" borderId="1" applyAlignment="1" pivotButton="0" quotePrefix="0" xfId="1">
      <alignment horizontal="right" vertical="center"/>
    </xf>
    <xf numFmtId="0" fontId="10" fillId="4" borderId="1" applyAlignment="1" pivotButton="0" quotePrefix="0" xfId="0">
      <alignment horizontal="left" vertical="center"/>
    </xf>
    <xf numFmtId="165" fontId="7" fillId="5" borderId="1" applyAlignment="1" pivotButton="0" quotePrefix="0" xfId="1">
      <alignment horizontal="right" vertical="center"/>
    </xf>
    <xf numFmtId="165" fontId="7" fillId="4" borderId="1" applyAlignment="1" pivotButton="0" quotePrefix="0" xfId="1">
      <alignment horizontal="right" vertical="center"/>
    </xf>
    <xf numFmtId="0" fontId="0" fillId="0" borderId="4" pivotButton="0" quotePrefix="0" xfId="0"/>
    <xf numFmtId="0" fontId="0" fillId="0" borderId="5" pivotButton="0" quotePrefix="0" xfId="0"/>
    <xf numFmtId="165" fontId="7" fillId="5" borderId="1" applyAlignment="1" pivotButton="0" quotePrefix="0" xfId="1">
      <alignment horizontal="right" vertical="center"/>
    </xf>
    <xf numFmtId="165" fontId="7" fillId="4" borderId="1" applyAlignment="1" pivotButton="0" quotePrefix="0" xfId="1">
      <alignment horizontal="right" vertical="center"/>
    </xf>
    <xf numFmtId="165" fontId="3" fillId="2" borderId="1" applyAlignment="1" pivotButton="0" quotePrefix="0" xfId="1">
      <alignment horizontal="right" vertical="center"/>
    </xf>
  </cellXfs>
  <cellStyles count="2">
    <cellStyle name="Normal" xfId="0" builtinId="0"/>
    <cellStyle name="Milliers" xfId="1" builtinId="3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0" workbookViewId="0">
      <selection activeCell="B24" sqref="B24"/>
    </sheetView>
  </sheetViews>
  <sheetFormatPr baseColWidth="10" defaultColWidth="8.88671875" defaultRowHeight="14.4"/>
  <cols>
    <col width="30" customWidth="1" style="23" min="1" max="1"/>
    <col width="60" customWidth="1" style="23" min="2" max="2"/>
  </cols>
  <sheetData>
    <row r="1" ht="36" customHeight="1" s="23">
      <c r="A1" s="24" t="inlineStr">
        <is>
          <t>PIÈCES ANNEXES À LA DÉCLARATION FISCALE</t>
        </is>
      </c>
      <c r="B1" s="33" t="n"/>
    </row>
    <row r="2" ht="24" customHeight="1" s="23">
      <c r="A2" s="22" t="inlineStr">
        <is>
          <t>IMPÔTS SUR LES SOCIÉTÉS — Modèle Comptable Normal</t>
        </is>
      </c>
      <c r="B2" s="33" t="n"/>
    </row>
    <row r="3" ht="24" customHeight="1" s="23">
      <c r="A3" s="1" t="inlineStr">
        <is>
          <t>Champ</t>
        </is>
      </c>
      <c r="B3" s="1" t="inlineStr">
        <is>
          <t>Valeur</t>
        </is>
      </c>
    </row>
    <row r="4" ht="22.05" customHeight="1" s="23">
      <c r="A4" s="2" t="inlineStr">
        <is>
          <t>Raison sociale</t>
        </is>
      </c>
      <c r="B4" s="3" t="n"/>
    </row>
    <row r="5" ht="22.05" customHeight="1" s="23">
      <c r="A5" s="4" t="inlineStr">
        <is>
          <t>Taxe professionnelle</t>
        </is>
      </c>
      <c r="B5" s="5" t="n"/>
    </row>
    <row r="6" ht="22.05" customHeight="1" s="23">
      <c r="A6" s="2" t="inlineStr">
        <is>
          <t>Identifiant fiscal</t>
        </is>
      </c>
      <c r="B6" s="3" t="n"/>
    </row>
    <row r="7" ht="22.05" customHeight="1" s="23">
      <c r="A7" s="4" t="inlineStr">
        <is>
          <t>Adresse</t>
        </is>
      </c>
      <c r="B7" s="5" t="n"/>
    </row>
    <row r="8" ht="22.05" customHeight="1" s="23">
      <c r="A8" s="2" t="inlineStr">
        <is>
          <t>Exercice</t>
        </is>
      </c>
      <c r="B8" s="3" t="n"/>
    </row>
    <row r="9" ht="22.05" customHeight="1" s="23">
      <c r="A9" s="4" t="inlineStr">
        <is>
          <t>Date de déclaration</t>
        </is>
      </c>
      <c r="B9" s="5" t="n"/>
    </row>
  </sheetData>
  <mergeCells count="2"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4"/>
  <sheetViews>
    <sheetView showGridLines="0" zoomScale="81" workbookViewId="0">
      <pane ySplit="3" topLeftCell="A4" activePane="bottomLeft" state="frozen"/>
      <selection pane="bottomLeft" activeCell="D52" sqref="D52"/>
    </sheetView>
  </sheetViews>
  <sheetFormatPr baseColWidth="10" defaultColWidth="8.88671875" defaultRowHeight="14.4"/>
  <cols>
    <col width="50" customWidth="1" style="23" min="1" max="1"/>
    <col width="18" customWidth="1" style="23" min="2" max="5"/>
  </cols>
  <sheetData>
    <row r="1" ht="30" customHeight="1" s="23">
      <c r="A1" s="27" t="inlineStr">
        <is>
          <t>BILAN — ACTIF  |  Du 01/01/2017 au 31/12/2017</t>
        </is>
      </c>
      <c r="B1" s="34" t="n"/>
      <c r="C1" s="34" t="n"/>
      <c r="D1" s="34" t="n"/>
      <c r="E1" s="33" t="n"/>
    </row>
    <row r="2" ht="22.05" customHeight="1" s="23">
      <c r="A2" s="26" t="inlineStr">
        <is>
          <t>AGENCE DU BASSIN HYDRAULIQUE DU SEBOU  —  IF: 4510887</t>
        </is>
      </c>
      <c r="B2" s="34" t="n"/>
      <c r="C2" s="34" t="n"/>
      <c r="D2" s="34" t="n"/>
      <c r="E2" s="33" t="n"/>
    </row>
    <row r="3" ht="28.05" customHeight="1" s="23">
      <c r="A3" s="1" t="inlineStr">
        <is>
          <t>ACTIF</t>
        </is>
      </c>
      <c r="B3" s="1" t="inlineStr">
        <is>
          <t>BRUT (N)</t>
        </is>
      </c>
      <c r="C3" s="1" t="inlineStr">
        <is>
          <t>AMORT. &amp; PROV.</t>
        </is>
      </c>
      <c r="D3" s="1" t="inlineStr">
        <is>
          <t>NET (N)</t>
        </is>
      </c>
      <c r="E3" s="1" t="inlineStr">
        <is>
          <t>NET (N-1)</t>
        </is>
      </c>
    </row>
    <row r="4" ht="18" customHeight="1" s="23">
      <c r="A4" s="25" t="inlineStr">
        <is>
          <t xml:space="preserve">  ▶  ACTIF IMMOBILISÉ</t>
        </is>
      </c>
      <c r="B4" s="34" t="n"/>
      <c r="C4" s="34" t="n"/>
      <c r="D4" s="34" t="n"/>
      <c r="E4" s="33" t="n"/>
    </row>
    <row r="5" ht="18" customHeight="1" s="23">
      <c r="A5" s="6" t="inlineStr">
        <is>
          <t>Immobilisations en non-valeurs [A]</t>
        </is>
      </c>
      <c r="B5" s="7">
        <f>B6+B7+B8</f>
        <v/>
      </c>
      <c r="C5" s="7">
        <f>C6+C7+C8</f>
        <v/>
      </c>
      <c r="D5" s="7">
        <f>B5-C5</f>
        <v/>
      </c>
      <c r="E5" s="7">
        <f>E6+E7+E8</f>
        <v/>
      </c>
    </row>
    <row r="6" ht="18" customHeight="1" s="23">
      <c r="A6" s="8" t="inlineStr">
        <is>
          <t>Frais préliminaires</t>
        </is>
      </c>
      <c r="B6" s="9" t="n"/>
      <c r="C6" s="9" t="n"/>
      <c r="D6" s="9">
        <f>B6-C6</f>
        <v/>
      </c>
      <c r="E6" s="9" t="n"/>
    </row>
    <row r="7" ht="18" customHeight="1" s="23">
      <c r="A7" s="10" t="inlineStr">
        <is>
          <t>Charges à répartir sur plusieurs exercices</t>
        </is>
      </c>
      <c r="B7" s="11" t="n"/>
      <c r="C7" s="11" t="n"/>
      <c r="D7" s="11">
        <f>B7-C7</f>
        <v/>
      </c>
      <c r="E7" s="11" t="n"/>
    </row>
    <row r="8" ht="18" customHeight="1" s="23">
      <c r="A8" s="8" t="inlineStr">
        <is>
          <t>Primes de remboursement des obligations</t>
        </is>
      </c>
      <c r="B8" s="9" t="n"/>
      <c r="C8" s="9" t="n"/>
      <c r="D8" s="9">
        <f>B8-C8</f>
        <v/>
      </c>
      <c r="E8" s="9" t="n"/>
    </row>
    <row r="9" ht="18" customHeight="1" s="23">
      <c r="A9" s="6" t="inlineStr">
        <is>
          <t>Immobilisations incorporelles [B]</t>
        </is>
      </c>
      <c r="B9" s="7">
        <f>B10+B11+B12+B13</f>
        <v/>
      </c>
      <c r="C9" s="7">
        <f>C10+C11+C12+C13</f>
        <v/>
      </c>
      <c r="D9" s="7">
        <f>B9-C9</f>
        <v/>
      </c>
      <c r="E9" s="7">
        <f>E10+E11+E12+E13</f>
        <v/>
      </c>
    </row>
    <row r="10" ht="18" customHeight="1" s="23">
      <c r="A10" s="8" t="inlineStr">
        <is>
          <t>Immobilisations en Recherche et Développement</t>
        </is>
      </c>
      <c r="B10" s="9" t="n"/>
      <c r="C10" s="9" t="n"/>
      <c r="D10" s="9">
        <f>B10-C10</f>
        <v/>
      </c>
      <c r="E10" s="9" t="n"/>
    </row>
    <row r="11" ht="18" customHeight="1" s="23">
      <c r="A11" s="10" t="inlineStr">
        <is>
          <t>Brevets, marques, droits et valeurs similaires</t>
        </is>
      </c>
      <c r="B11" s="11" t="n"/>
      <c r="C11" s="11" t="n"/>
      <c r="D11" s="11">
        <f>B11-C11</f>
        <v/>
      </c>
      <c r="E11" s="11" t="n"/>
    </row>
    <row r="12" ht="18" customHeight="1" s="23">
      <c r="A12" s="8" t="inlineStr">
        <is>
          <t>Fonds commercial</t>
        </is>
      </c>
      <c r="B12" s="9" t="n"/>
      <c r="C12" s="9" t="n"/>
      <c r="D12" s="9">
        <f>B12-C12</f>
        <v/>
      </c>
      <c r="E12" s="9" t="n"/>
    </row>
    <row r="13" ht="18" customHeight="1" s="23">
      <c r="A13" s="10" t="inlineStr">
        <is>
          <t>Autres immobilisations incorporelles</t>
        </is>
      </c>
      <c r="B13" s="11" t="n"/>
      <c r="C13" s="11" t="n"/>
      <c r="D13" s="11">
        <f>B13-C13</f>
        <v/>
      </c>
      <c r="E13" s="11" t="n"/>
    </row>
    <row r="14" ht="18" customHeight="1" s="23">
      <c r="A14" s="6" t="inlineStr">
        <is>
          <t>Immobilisations corporelles [C]</t>
        </is>
      </c>
      <c r="B14" s="7">
        <f>B15+B16+B17+B18+B19+B20+B21</f>
        <v/>
      </c>
      <c r="C14" s="7">
        <f>C15+C16+C17+C18+C19+C20+C21</f>
        <v/>
      </c>
      <c r="D14" s="7">
        <f>B14-C14</f>
        <v/>
      </c>
      <c r="E14" s="7">
        <f>E15+E16+E17+E18+E19+E20+E21</f>
        <v/>
      </c>
    </row>
    <row r="15" ht="18" customHeight="1" s="23">
      <c r="A15" s="10" t="inlineStr">
        <is>
          <t>Terrains</t>
        </is>
      </c>
      <c r="B15" s="11" t="n"/>
      <c r="C15" s="11" t="n"/>
      <c r="D15" s="11">
        <f>B15-C15</f>
        <v/>
      </c>
      <c r="E15" s="11" t="n"/>
    </row>
    <row r="16" ht="18" customHeight="1" s="23">
      <c r="A16" s="8" t="inlineStr">
        <is>
          <t>Constructions</t>
        </is>
      </c>
      <c r="B16" s="9" t="n"/>
      <c r="C16" s="9" t="n"/>
      <c r="D16" s="9">
        <f>B16-C16</f>
        <v/>
      </c>
      <c r="E16" s="9" t="n"/>
    </row>
    <row r="17" ht="18" customHeight="1" s="23">
      <c r="A17" s="10" t="inlineStr">
        <is>
          <t>Installations techniques, matériel et outillage</t>
        </is>
      </c>
      <c r="B17" s="11" t="n"/>
      <c r="C17" s="11" t="n"/>
      <c r="D17" s="11">
        <f>B17-C17</f>
        <v/>
      </c>
      <c r="E17" s="11" t="n"/>
    </row>
    <row r="18" ht="18" customHeight="1" s="23">
      <c r="A18" s="8" t="inlineStr">
        <is>
          <t>Matériel de transport</t>
        </is>
      </c>
      <c r="B18" s="9" t="n"/>
      <c r="C18" s="9" t="n"/>
      <c r="D18" s="9">
        <f>B18-C18</f>
        <v/>
      </c>
      <c r="E18" s="9" t="n"/>
    </row>
    <row r="19" ht="18" customHeight="1" s="23">
      <c r="A19" s="10" t="inlineStr">
        <is>
          <t>Mobilier, Mat. de bureau, Aménagements divers</t>
        </is>
      </c>
      <c r="B19" s="11" t="n"/>
      <c r="C19" s="11" t="n"/>
      <c r="D19" s="11">
        <f>B19-C19</f>
        <v/>
      </c>
      <c r="E19" s="11" t="n"/>
    </row>
    <row r="20" ht="18" customHeight="1" s="23">
      <c r="A20" s="8" t="inlineStr">
        <is>
          <t>Autres immobilisations corporelles</t>
        </is>
      </c>
      <c r="B20" s="9" t="n"/>
      <c r="C20" s="9" t="n"/>
      <c r="D20" s="9">
        <f>B20-C20</f>
        <v/>
      </c>
      <c r="E20" s="9" t="n"/>
    </row>
    <row r="21" ht="18" customHeight="1" s="23">
      <c r="A21" s="10" t="inlineStr">
        <is>
          <t>Immobilisations corporelles en cours</t>
        </is>
      </c>
      <c r="B21" s="11" t="n"/>
      <c r="C21" s="11" t="n"/>
      <c r="D21" s="11">
        <f>B21-C21</f>
        <v/>
      </c>
      <c r="E21" s="11" t="n"/>
    </row>
    <row r="22" ht="18" customHeight="1" s="23">
      <c r="A22" s="6" t="inlineStr">
        <is>
          <t>Immobilisations financières [D]</t>
        </is>
      </c>
      <c r="B22" s="7">
        <f>B23+B24+B25+B26</f>
        <v/>
      </c>
      <c r="C22" s="7">
        <f>C23+C24+C25+C26</f>
        <v/>
      </c>
      <c r="D22" s="7">
        <f>B22-C22</f>
        <v/>
      </c>
      <c r="E22" s="7">
        <f>E23+E24+E25+E26</f>
        <v/>
      </c>
    </row>
    <row r="23" ht="18" customHeight="1" s="23">
      <c r="A23" s="10" t="inlineStr">
        <is>
          <t>Prêts immobilisés</t>
        </is>
      </c>
      <c r="B23" s="11" t="n"/>
      <c r="C23" s="11" t="n"/>
      <c r="D23" s="11">
        <f>B23-C23</f>
        <v/>
      </c>
      <c r="E23" s="11" t="n"/>
    </row>
    <row r="24" ht="18" customHeight="1" s="23">
      <c r="A24" s="8" t="inlineStr">
        <is>
          <t>Autres créances financières</t>
        </is>
      </c>
      <c r="B24" s="9" t="n"/>
      <c r="C24" s="9" t="n"/>
      <c r="D24" s="9">
        <f>B24-C24</f>
        <v/>
      </c>
      <c r="E24" s="9" t="n"/>
    </row>
    <row r="25" ht="18" customHeight="1" s="23">
      <c r="A25" s="10" t="inlineStr">
        <is>
          <t>Titres de participation</t>
        </is>
      </c>
      <c r="B25" s="11" t="n"/>
      <c r="C25" s="11" t="n"/>
      <c r="D25" s="11">
        <f>B25-C25</f>
        <v/>
      </c>
      <c r="E25" s="11" t="n"/>
    </row>
    <row r="26" ht="18" customHeight="1" s="23">
      <c r="A26" s="8" t="inlineStr">
        <is>
          <t>Autres titres immobilisés</t>
        </is>
      </c>
      <c r="B26" s="9" t="n"/>
      <c r="C26" s="9" t="n"/>
      <c r="D26" s="9">
        <f>B26-C26</f>
        <v/>
      </c>
      <c r="E26" s="9" t="n"/>
    </row>
    <row r="27" ht="18" customHeight="1" s="23">
      <c r="A27" s="6" t="inlineStr">
        <is>
          <t>Écarts de conversion actif [E]</t>
        </is>
      </c>
      <c r="B27" s="7" t="n">
        <v>0</v>
      </c>
      <c r="C27" s="7" t="n">
        <v>0</v>
      </c>
      <c r="D27" s="7">
        <f>B27-C27</f>
        <v/>
      </c>
      <c r="E27" s="7" t="n">
        <v>0</v>
      </c>
    </row>
    <row r="28" ht="18" customHeight="1" s="23">
      <c r="A28" s="8" t="inlineStr">
        <is>
          <t>Diminution des créances immobilisées</t>
        </is>
      </c>
      <c r="B28" s="9" t="n">
        <v>0</v>
      </c>
      <c r="C28" s="9" t="n">
        <v>0</v>
      </c>
      <c r="D28" s="9">
        <f>B28-C28</f>
        <v/>
      </c>
      <c r="E28" s="9" t="n">
        <v>0</v>
      </c>
    </row>
    <row r="29" ht="18" customHeight="1" s="23">
      <c r="A29" s="10" t="inlineStr">
        <is>
          <t>Augmentation des dettes financières</t>
        </is>
      </c>
      <c r="B29" s="11" t="n">
        <v>0</v>
      </c>
      <c r="C29" s="11" t="n">
        <v>0</v>
      </c>
      <c r="D29" s="11">
        <f>B29-C29</f>
        <v/>
      </c>
      <c r="E29" s="11" t="n">
        <v>0</v>
      </c>
    </row>
    <row r="30" ht="18" customHeight="1" s="23">
      <c r="A30" s="12" t="inlineStr">
        <is>
          <t>TOTAL I (A+B+C+D+E)</t>
        </is>
      </c>
      <c r="B30" s="13">
        <f>B5+B9+B14+B22+B27</f>
        <v/>
      </c>
      <c r="C30" s="13">
        <f>C5+C9+C14+C22+C27</f>
        <v/>
      </c>
      <c r="D30" s="13">
        <f>D5+D9+D14+D22+D27</f>
        <v/>
      </c>
      <c r="E30" s="13">
        <f>E5+E9+E14+E22+E27</f>
        <v/>
      </c>
    </row>
    <row r="31" ht="18" customHeight="1" s="23">
      <c r="A31" s="25" t="inlineStr">
        <is>
          <t xml:space="preserve">  ▶  ACTIF CIRCULANT</t>
        </is>
      </c>
      <c r="B31" s="34" t="n"/>
      <c r="C31" s="34" t="n"/>
      <c r="D31" s="34" t="n"/>
      <c r="E31" s="33" t="n"/>
    </row>
    <row r="32" ht="18" customHeight="1" s="23">
      <c r="A32" s="6" t="inlineStr">
        <is>
          <t>Stocks [F]</t>
        </is>
      </c>
      <c r="B32" s="7">
        <f>B33+B34+B35+B36+B37</f>
        <v/>
      </c>
      <c r="C32" s="7">
        <f>C33+C34+C35+C36+C37</f>
        <v/>
      </c>
      <c r="D32" s="7">
        <f>B32-C32</f>
        <v/>
      </c>
      <c r="E32" s="7">
        <f>E33+E34+E35+E36+E37</f>
        <v/>
      </c>
    </row>
    <row r="33" ht="18" customHeight="1" s="23">
      <c r="A33" s="10" t="inlineStr">
        <is>
          <t>Marchandises</t>
        </is>
      </c>
      <c r="B33" s="11" t="n"/>
      <c r="C33" s="11" t="n"/>
      <c r="D33" s="11">
        <f>B33-C33</f>
        <v/>
      </c>
      <c r="E33" s="11" t="n"/>
    </row>
    <row r="34" ht="18" customHeight="1" s="23">
      <c r="A34" s="8" t="inlineStr">
        <is>
          <t>Matières et fournitures consommables</t>
        </is>
      </c>
      <c r="B34" s="9" t="n"/>
      <c r="C34" s="9" t="n"/>
      <c r="D34" s="9">
        <f>B34-C34</f>
        <v/>
      </c>
      <c r="E34" s="9" t="n"/>
    </row>
    <row r="35" ht="18" customHeight="1" s="23">
      <c r="A35" s="10" t="inlineStr">
        <is>
          <t>Produits en cours</t>
        </is>
      </c>
      <c r="B35" s="11" t="n"/>
      <c r="C35" s="11" t="n"/>
      <c r="D35" s="11">
        <f>B35-C35</f>
        <v/>
      </c>
      <c r="E35" s="11" t="n"/>
    </row>
    <row r="36" ht="18" customHeight="1" s="23">
      <c r="A36" s="8" t="inlineStr">
        <is>
          <t>Produits intermédiaires et produits résiduels</t>
        </is>
      </c>
      <c r="B36" s="9" t="n"/>
      <c r="C36" s="9" t="n"/>
      <c r="D36" s="9">
        <f>B36-C36</f>
        <v/>
      </c>
      <c r="E36" s="9" t="n"/>
    </row>
    <row r="37" ht="18" customHeight="1" s="23">
      <c r="A37" s="10" t="inlineStr">
        <is>
          <t>Produits finis</t>
        </is>
      </c>
      <c r="B37" s="11" t="n"/>
      <c r="C37" s="11" t="n"/>
      <c r="D37" s="11">
        <f>B37-C37</f>
        <v/>
      </c>
      <c r="E37" s="11" t="n"/>
    </row>
    <row r="38" ht="18" customHeight="1" s="23">
      <c r="A38" s="6" t="inlineStr">
        <is>
          <t>Créances de l'actif circulant [G]</t>
        </is>
      </c>
      <c r="B38" s="7">
        <f>B39+B40+B41+B42+B43+B44+B45</f>
        <v/>
      </c>
      <c r="C38" s="7">
        <f>C39+C40+C41+C42+C43+C44+C45</f>
        <v/>
      </c>
      <c r="D38" s="7">
        <f>B38-C38</f>
        <v/>
      </c>
      <c r="E38" s="7">
        <f>E39+E40+E41+E42+E43+E44+E45</f>
        <v/>
      </c>
    </row>
    <row r="39" ht="18" customHeight="1" s="23">
      <c r="A39" s="10" t="inlineStr">
        <is>
          <t>Fournisseurs débiteurs, avances et acomptes</t>
        </is>
      </c>
      <c r="B39" s="11" t="n"/>
      <c r="C39" s="11" t="n"/>
      <c r="D39" s="11">
        <f>B39-C39</f>
        <v/>
      </c>
      <c r="E39" s="11" t="n"/>
    </row>
    <row r="40" ht="18" customHeight="1" s="23">
      <c r="A40" s="8" t="inlineStr">
        <is>
          <t>Clients et comptes rattachés</t>
        </is>
      </c>
      <c r="B40" s="9" t="n"/>
      <c r="C40" s="9" t="n"/>
      <c r="D40" s="9">
        <f>B40-C40</f>
        <v/>
      </c>
      <c r="E40" s="9" t="n"/>
    </row>
    <row r="41" ht="18" customHeight="1" s="23">
      <c r="A41" s="10" t="inlineStr">
        <is>
          <t>Personnel</t>
        </is>
      </c>
      <c r="B41" s="11" t="n"/>
      <c r="C41" s="11" t="n"/>
      <c r="D41" s="11">
        <f>B41-C41</f>
        <v/>
      </c>
      <c r="E41" s="11" t="n"/>
    </row>
    <row r="42" ht="18" customHeight="1" s="23">
      <c r="A42" s="8" t="inlineStr">
        <is>
          <t>État</t>
        </is>
      </c>
      <c r="B42" s="9" t="n"/>
      <c r="C42" s="9" t="n"/>
      <c r="D42" s="9">
        <f>B42-C42</f>
        <v/>
      </c>
      <c r="E42" s="9" t="n"/>
    </row>
    <row r="43" ht="18" customHeight="1" s="23">
      <c r="A43" s="10" t="inlineStr">
        <is>
          <t>Comptes d'associés</t>
        </is>
      </c>
      <c r="B43" s="11" t="n"/>
      <c r="C43" s="11" t="n"/>
      <c r="D43" s="11">
        <f>B43-C43</f>
        <v/>
      </c>
      <c r="E43" s="11" t="n"/>
    </row>
    <row r="44" ht="18" customHeight="1" s="23">
      <c r="A44" s="8" t="inlineStr">
        <is>
          <t>Autres débiteurs</t>
        </is>
      </c>
      <c r="B44" s="9" t="n"/>
      <c r="C44" s="9" t="n"/>
      <c r="D44" s="9">
        <f>B44-C44</f>
        <v/>
      </c>
      <c r="E44" s="9" t="n"/>
    </row>
    <row r="45" ht="18" customHeight="1" s="23">
      <c r="A45" s="10" t="inlineStr">
        <is>
          <t>Comptes de régularisation - Actif</t>
        </is>
      </c>
      <c r="B45" s="11" t="n"/>
      <c r="C45" s="11" t="n"/>
      <c r="D45" s="11">
        <f>B45-C45</f>
        <v/>
      </c>
      <c r="E45" s="11" t="n"/>
    </row>
    <row r="46" ht="18" customHeight="1" s="23">
      <c r="A46" s="6" t="inlineStr">
        <is>
          <t>Titres et valeurs de placement [H]</t>
        </is>
      </c>
      <c r="B46" s="7" t="n">
        <v>0</v>
      </c>
      <c r="C46" s="7" t="n">
        <v>0</v>
      </c>
      <c r="D46" s="7">
        <f>B46-C46</f>
        <v/>
      </c>
      <c r="E46" s="7" t="n">
        <v>0</v>
      </c>
    </row>
    <row r="47" ht="18" customHeight="1" s="23">
      <c r="A47" s="14" t="inlineStr">
        <is>
          <t>Écarts de conversion actif - Éléments circulants [I]</t>
        </is>
      </c>
      <c r="B47" s="11" t="n"/>
      <c r="C47" s="11" t="n"/>
      <c r="D47" s="11">
        <f>B47-C47</f>
        <v/>
      </c>
      <c r="E47" s="11" t="n"/>
    </row>
    <row r="48" ht="18" customHeight="1" s="23">
      <c r="A48" s="12" t="inlineStr">
        <is>
          <t>TOTAL II (F+G+H+I)</t>
        </is>
      </c>
      <c r="B48" s="13">
        <f>B32+B38+B46+B47</f>
        <v/>
      </c>
      <c r="C48" s="13">
        <f>C32+C38+C46+C47</f>
        <v/>
      </c>
      <c r="D48" s="13">
        <f>D32+D38+D46+D47</f>
        <v/>
      </c>
      <c r="E48" s="13">
        <f>E32+E38+E46+E47</f>
        <v/>
      </c>
    </row>
    <row r="49" ht="18" customHeight="1" s="23">
      <c r="A49" s="25" t="inlineStr">
        <is>
          <t xml:space="preserve">  ▶  TRÉSORERIE - ACTIF</t>
        </is>
      </c>
      <c r="B49" s="34" t="n"/>
      <c r="C49" s="34" t="n"/>
      <c r="D49" s="34" t="n"/>
      <c r="E49" s="33" t="n"/>
    </row>
    <row r="50" ht="18" customHeight="1" s="23">
      <c r="A50" s="8" t="inlineStr">
        <is>
          <t>Chèques et valeurs à encaisser</t>
        </is>
      </c>
      <c r="B50" s="9" t="n"/>
      <c r="C50" s="9" t="n"/>
      <c r="D50" s="9">
        <f>B50-C50</f>
        <v/>
      </c>
      <c r="E50" s="9" t="n"/>
    </row>
    <row r="51" ht="18" customHeight="1" s="23">
      <c r="A51" s="10" t="inlineStr">
        <is>
          <t>Banques, T.G et C.C.P</t>
        </is>
      </c>
      <c r="B51" s="11" t="n"/>
      <c r="C51" s="11" t="n"/>
      <c r="D51" s="11">
        <f>B51-C51</f>
        <v/>
      </c>
      <c r="E51" s="11" t="n"/>
    </row>
    <row r="52" ht="18" customHeight="1" s="23">
      <c r="A52" s="8" t="inlineStr">
        <is>
          <t>Caisse, Régie d'avances et accréditifs</t>
        </is>
      </c>
      <c r="B52" s="9" t="n"/>
      <c r="C52" s="9" t="n"/>
      <c r="D52" s="9">
        <f>B52-C52</f>
        <v/>
      </c>
      <c r="E52" s="9" t="n"/>
    </row>
    <row r="53" ht="18" customHeight="1" s="23">
      <c r="A53" s="12" t="inlineStr">
        <is>
          <t>TOTAL III</t>
        </is>
      </c>
      <c r="B53" s="13">
        <f>B50+B51+B52</f>
        <v/>
      </c>
      <c r="C53" s="13">
        <f>C50+C51+C52</f>
        <v/>
      </c>
      <c r="D53" s="13">
        <f>D50+D51+D52</f>
        <v/>
      </c>
      <c r="E53" s="13">
        <f>E50+E51+E52</f>
        <v/>
      </c>
    </row>
    <row r="54" ht="18" customHeight="1" s="23">
      <c r="A54" s="12" t="inlineStr">
        <is>
          <t>TOTAL GÉNÉRAL (I+II+III)</t>
        </is>
      </c>
      <c r="B54" s="13">
        <f>B30+B48+B53</f>
        <v/>
      </c>
      <c r="C54" s="13">
        <f>C30+C48+C53</f>
        <v/>
      </c>
      <c r="D54" s="13">
        <f>D30+D48+D53</f>
        <v/>
      </c>
      <c r="E54" s="13">
        <f>E30+E48+E53</f>
        <v/>
      </c>
    </row>
  </sheetData>
  <mergeCells count="5">
    <mergeCell ref="A4:E4"/>
    <mergeCell ref="A2:E2"/>
    <mergeCell ref="A49:E49"/>
    <mergeCell ref="A1:E1"/>
    <mergeCell ref="A31:E3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9"/>
  <sheetViews>
    <sheetView showGridLines="0" zoomScale="85" zoomScaleNormal="85" workbookViewId="0">
      <pane ySplit="3" topLeftCell="A46" activePane="bottomLeft" state="frozen"/>
      <selection pane="bottomLeft" activeCell="B42" sqref="B42"/>
    </sheetView>
  </sheetViews>
  <sheetFormatPr baseColWidth="10" defaultColWidth="8.88671875" defaultRowHeight="14.4"/>
  <cols>
    <col width="54" customWidth="1" style="23" min="1" max="1"/>
    <col width="22" customWidth="1" style="23" min="2" max="3"/>
  </cols>
  <sheetData>
    <row r="1" ht="30" customHeight="1" s="23">
      <c r="A1" s="27" t="inlineStr">
        <is>
          <t>BILAN — PASSIF  |  Du 01/01/2017 au 31/12/2017</t>
        </is>
      </c>
      <c r="B1" s="34" t="n"/>
      <c r="C1" s="33" t="n"/>
    </row>
    <row r="2" ht="22.05" customHeight="1" s="23">
      <c r="A2" s="26" t="inlineStr">
        <is>
          <t>AGENCE DU BASSIN HYDRAULIQUE DU SEBOU  —  IF: 4510887</t>
        </is>
      </c>
      <c r="B2" s="34" t="n"/>
      <c r="C2" s="33" t="n"/>
    </row>
    <row r="3" ht="28.05" customHeight="1" s="23">
      <c r="A3" s="1" t="inlineStr">
        <is>
          <t>PASSIF</t>
        </is>
      </c>
      <c r="B3" s="1" t="inlineStr">
        <is>
          <t>EXERCICE N</t>
        </is>
      </c>
      <c r="C3" s="1" t="inlineStr">
        <is>
          <t>EXERCICE N-1</t>
        </is>
      </c>
    </row>
    <row r="4" ht="18" customHeight="1" s="23">
      <c r="A4" s="25" t="inlineStr">
        <is>
          <t xml:space="preserve">  ▶  FINANCEMENT PERMANENT</t>
        </is>
      </c>
      <c r="B4" s="34" t="n"/>
      <c r="C4" s="33" t="n"/>
    </row>
    <row r="5" ht="18" customHeight="1" s="23">
      <c r="A5" s="25" t="inlineStr">
        <is>
          <t xml:space="preserve">  ▶  CAPITAUX PROPRES</t>
        </is>
      </c>
      <c r="B5" s="34" t="n"/>
      <c r="C5" s="33" t="n"/>
    </row>
    <row r="6" ht="19.8" customHeight="1" s="23">
      <c r="A6" s="15" t="inlineStr">
        <is>
          <t>Capital social ou personnel</t>
        </is>
      </c>
      <c r="B6" s="9" t="n"/>
      <c r="C6" s="9" t="n"/>
    </row>
    <row r="7" ht="19.8" customHeight="1" s="23">
      <c r="A7" s="30" t="inlineStr">
        <is>
          <t>Moins:actionnaires, capital souscrit non appelé</t>
        </is>
      </c>
      <c r="B7" s="9" t="n"/>
      <c r="C7" s="9" t="n"/>
    </row>
    <row r="8" ht="19.8" customHeight="1" s="23">
      <c r="A8" s="30" t="inlineStr">
        <is>
          <t>capital appelé</t>
        </is>
      </c>
      <c r="B8" s="9" t="n"/>
      <c r="C8" s="9" t="n"/>
    </row>
    <row r="9" ht="18" customHeight="1" s="23">
      <c r="A9" t="inlineStr">
        <is>
          <t>dont versé</t>
        </is>
      </c>
    </row>
    <row r="10" ht="18" customHeight="1" s="23">
      <c r="A10" s="14" t="inlineStr">
        <is>
          <t>Prime d'émission, de fusion, d'apport</t>
        </is>
      </c>
      <c r="B10" s="11" t="n"/>
      <c r="C10" s="11" t="n"/>
    </row>
    <row r="11" ht="18" customHeight="1" s="23">
      <c r="A11" s="15" t="inlineStr">
        <is>
          <t>Écarts de réévaluation</t>
        </is>
      </c>
      <c r="B11" s="9" t="n"/>
      <c r="C11" s="9" t="n"/>
    </row>
    <row r="12" ht="18" customHeight="1" s="23">
      <c r="A12" s="14" t="inlineStr">
        <is>
          <t>Réserve légale</t>
        </is>
      </c>
      <c r="B12" s="11" t="n"/>
      <c r="C12" s="11" t="n"/>
    </row>
    <row r="13" ht="18" customHeight="1" s="23">
      <c r="A13" s="15" t="inlineStr">
        <is>
          <t>Autres réserves</t>
        </is>
      </c>
      <c r="B13" s="9" t="n"/>
      <c r="C13" s="9" t="n"/>
    </row>
    <row r="14" ht="18" customHeight="1" s="23">
      <c r="A14" s="14" t="inlineStr">
        <is>
          <t>Report à nouveau</t>
        </is>
      </c>
      <c r="B14" s="35" t="n"/>
      <c r="C14" s="35" t="n"/>
    </row>
    <row r="15" ht="18" customHeight="1" s="23">
      <c r="A15" s="15" t="inlineStr">
        <is>
          <t>Résultat en instance d'affectation</t>
        </is>
      </c>
      <c r="B15" s="36" t="n"/>
      <c r="C15" s="36" t="n"/>
    </row>
    <row r="16" ht="18" customHeight="1" s="23">
      <c r="A16" s="14" t="inlineStr">
        <is>
          <t>Résultat net de l'exercice</t>
        </is>
      </c>
      <c r="B16" s="11" t="n"/>
      <c r="C16" s="35" t="n"/>
    </row>
    <row r="17" ht="18" customHeight="1" s="23">
      <c r="A17" s="12" t="inlineStr">
        <is>
          <t>Total des capitaux propres (A)</t>
        </is>
      </c>
      <c r="B17" s="13">
        <f>B6+B10+B11+B12+B13+B14+B15</f>
        <v/>
      </c>
      <c r="C17" s="13">
        <f>C6+C10+C11+C12+C13+C14+C15</f>
        <v/>
      </c>
    </row>
    <row r="18" ht="18" customHeight="1" s="23">
      <c r="A18" s="25" t="inlineStr">
        <is>
          <t xml:space="preserve">  ▶  Capitaux propres assimilés (B)</t>
        </is>
      </c>
      <c r="B18" s="34" t="n"/>
      <c r="C18" s="33" t="n"/>
    </row>
    <row r="19" ht="18" customHeight="1" s="23">
      <c r="A19" s="8" t="inlineStr">
        <is>
          <t>Subventions d'investissement</t>
        </is>
      </c>
      <c r="B19" s="9" t="n"/>
      <c r="C19" s="9" t="n"/>
    </row>
    <row r="20" ht="18" customHeight="1" s="23">
      <c r="A20" s="10" t="inlineStr">
        <is>
          <t>Provisions réglementées</t>
        </is>
      </c>
      <c r="B20" s="11" t="n"/>
      <c r="C20" s="11" t="n"/>
    </row>
    <row r="21" ht="18" customHeight="1" s="23">
      <c r="A21" s="6" t="inlineStr">
        <is>
          <t>Dettes de financement (C)</t>
        </is>
      </c>
      <c r="B21" s="7" t="n"/>
      <c r="C21" s="7" t="n"/>
    </row>
    <row r="22" ht="18" customHeight="1" s="23">
      <c r="A22" s="10" t="inlineStr">
        <is>
          <t>Emprunts obligataires</t>
        </is>
      </c>
      <c r="B22" s="11" t="n"/>
      <c r="C22" s="11" t="n"/>
    </row>
    <row r="23" ht="18" customHeight="1" s="23">
      <c r="A23" s="8" t="inlineStr">
        <is>
          <t>Autres dettes de financement</t>
        </is>
      </c>
      <c r="B23" s="9" t="n"/>
      <c r="C23" s="9" t="n"/>
    </row>
    <row r="24" ht="18" customHeight="1" s="23">
      <c r="A24" s="6" t="inlineStr">
        <is>
          <t>Provisions durables pour risques et charges (D)</t>
        </is>
      </c>
      <c r="B24" s="7" t="n"/>
      <c r="C24" s="7" t="n"/>
    </row>
    <row r="25" ht="18" customHeight="1" s="23">
      <c r="A25" s="8" t="inlineStr">
        <is>
          <t>Provisions pour risques</t>
        </is>
      </c>
      <c r="B25" s="9" t="n"/>
      <c r="C25" s="9" t="n"/>
    </row>
    <row r="26" ht="18" customHeight="1" s="23">
      <c r="A26" s="10" t="inlineStr">
        <is>
          <t>Provisions pour charges</t>
        </is>
      </c>
      <c r="B26" s="11" t="n"/>
      <c r="C26" s="11" t="n"/>
    </row>
    <row r="27" ht="18" customHeight="1" s="23">
      <c r="A27" s="15" t="inlineStr">
        <is>
          <t>Écarts de conversion - passif (E)</t>
        </is>
      </c>
      <c r="B27" s="9" t="n"/>
      <c r="C27" s="9" t="n"/>
    </row>
    <row r="28" ht="18" customHeight="1" s="23">
      <c r="A28" s="10" t="inlineStr">
        <is>
          <t>Augmentation des créances immobilisées</t>
        </is>
      </c>
      <c r="B28" s="11" t="n"/>
      <c r="C28" s="11" t="n"/>
    </row>
    <row r="29" ht="18" customHeight="1" s="23">
      <c r="A29" s="8" t="inlineStr">
        <is>
          <t>Diminution des dettes de financement</t>
        </is>
      </c>
      <c r="B29" s="9" t="n"/>
      <c r="C29" s="9" t="n"/>
    </row>
    <row r="30" ht="18" customHeight="1" s="23">
      <c r="A30" s="12" t="inlineStr">
        <is>
          <t>TOTAL I (A+B+C+D+E) PASSIF</t>
        </is>
      </c>
      <c r="B30" s="13">
        <f>B16+B18+B19+B20+B23+B26</f>
        <v/>
      </c>
      <c r="C30" s="13">
        <f>C16+C18+C19+C20+C23+C26</f>
        <v/>
      </c>
    </row>
    <row r="31" ht="18" customHeight="1" s="23">
      <c r="A31" s="25" t="inlineStr">
        <is>
          <t xml:space="preserve">  ▶  PASSIF CIRCULANT</t>
        </is>
      </c>
      <c r="B31" s="34" t="n"/>
      <c r="C31" s="33" t="n"/>
    </row>
    <row r="32" ht="18" customHeight="1" s="23">
      <c r="A32" s="25" t="inlineStr">
        <is>
          <t xml:space="preserve">  ▶  Dettes du passif circulant (F)</t>
        </is>
      </c>
      <c r="B32" s="34" t="n"/>
      <c r="C32" s="33" t="n"/>
    </row>
    <row r="33" ht="18" customHeight="1" s="23">
      <c r="A33" s="8" t="inlineStr">
        <is>
          <t>Fournisseurs et comptes rattachés</t>
        </is>
      </c>
      <c r="B33" s="9" t="n"/>
      <c r="C33" s="9" t="n"/>
    </row>
    <row r="34" ht="18" customHeight="1" s="23">
      <c r="A34" s="10" t="inlineStr">
        <is>
          <t>Clients créditeurs, avances et acomptes</t>
        </is>
      </c>
      <c r="B34" s="11" t="n"/>
      <c r="C34" s="11" t="n"/>
    </row>
    <row r="35" ht="18" customHeight="1" s="23">
      <c r="A35" s="8" t="inlineStr">
        <is>
          <t>Personnel</t>
        </is>
      </c>
      <c r="B35" s="9" t="n"/>
      <c r="C35" s="9" t="n"/>
    </row>
    <row r="36" ht="18" customHeight="1" s="23">
      <c r="A36" s="10" t="inlineStr">
        <is>
          <t>Organismes sociaux</t>
        </is>
      </c>
      <c r="B36" s="11" t="n"/>
      <c r="C36" s="11" t="n"/>
    </row>
    <row r="37" ht="18" customHeight="1" s="23">
      <c r="A37" s="8" t="inlineStr">
        <is>
          <t>État</t>
        </is>
      </c>
      <c r="B37" s="9" t="n"/>
      <c r="C37" s="9" t="n"/>
    </row>
    <row r="38" ht="18" customHeight="1" s="23">
      <c r="A38" s="10" t="inlineStr">
        <is>
          <t>Comptes d'associés</t>
        </is>
      </c>
      <c r="B38" s="11" t="n"/>
      <c r="C38" s="11" t="n"/>
    </row>
    <row r="39" ht="18" customHeight="1" s="23">
      <c r="A39" s="8" t="inlineStr">
        <is>
          <t>Autres créanciers</t>
        </is>
      </c>
      <c r="B39" s="9" t="n"/>
      <c r="C39" s="9" t="n"/>
    </row>
    <row r="40" ht="18" customHeight="1" s="23">
      <c r="A40" s="10" t="inlineStr">
        <is>
          <t>Comptes de régularisation passif</t>
        </is>
      </c>
      <c r="B40" s="11" t="n"/>
      <c r="C40" s="11" t="n"/>
    </row>
    <row r="41" ht="18" customHeight="1" s="23">
      <c r="A41" s="6" t="inlineStr">
        <is>
          <t>Autres provisions pour risques et charges (G)</t>
        </is>
      </c>
      <c r="B41" s="7" t="n"/>
      <c r="C41" s="7" t="n"/>
    </row>
    <row r="42" ht="18" customHeight="1" s="23">
      <c r="A42" s="14" t="inlineStr">
        <is>
          <t>Écarts de conversion - passif éléments circulants (H)</t>
        </is>
      </c>
      <c r="B42" s="11" t="n"/>
      <c r="C42" s="11" t="n"/>
    </row>
    <row r="43" ht="18" customHeight="1" s="23">
      <c r="A43" s="12" t="inlineStr">
        <is>
          <t>TOTAL II (F+G+H)</t>
        </is>
      </c>
      <c r="B43" s="13">
        <f>B32+B33+B34+B35+B36+B37+B38+B39+B40+B41</f>
        <v/>
      </c>
      <c r="C43" s="13">
        <f>C32+C33+C34+C35+C36+C37+C38+C39+C40+C41</f>
        <v/>
      </c>
    </row>
    <row r="44" ht="18" customHeight="1" s="23">
      <c r="A44" s="25" t="inlineStr">
        <is>
          <t xml:space="preserve">  ▶  TRÉSORERIE PASSIF</t>
        </is>
      </c>
      <c r="B44" s="34" t="n"/>
      <c r="C44" s="33" t="n"/>
    </row>
    <row r="45" ht="18" customHeight="1" s="23">
      <c r="A45" s="8" t="inlineStr">
        <is>
          <t>Crédits d'escompte</t>
        </is>
      </c>
      <c r="B45" s="9" t="n"/>
      <c r="C45" s="9" t="n"/>
    </row>
    <row r="46" ht="18" customHeight="1" s="23">
      <c r="A46" s="10" t="inlineStr">
        <is>
          <t>Crédits de trésorerie</t>
        </is>
      </c>
      <c r="B46" s="11" t="n"/>
      <c r="C46" s="11" t="n"/>
    </row>
    <row r="47" ht="18" customHeight="1" s="23">
      <c r="A47" s="8" t="inlineStr">
        <is>
          <t>Banques (soldes créditeurs)</t>
        </is>
      </c>
      <c r="B47" s="9" t="n"/>
      <c r="C47" s="9" t="n"/>
    </row>
    <row r="48" ht="18" customHeight="1" s="23">
      <c r="A48" s="12" t="inlineStr">
        <is>
          <t>TOTAL III PASSIF</t>
        </is>
      </c>
      <c r="B48" s="13">
        <f>B44+B45+B46</f>
        <v/>
      </c>
      <c r="C48" s="13">
        <f>C44+C45+C46</f>
        <v/>
      </c>
    </row>
    <row r="49">
      <c r="A49" s="12" t="inlineStr">
        <is>
          <t>TOTAL GÉNÉRAL PASSIF (I+II+III)</t>
        </is>
      </c>
      <c r="B49" s="13">
        <f>B29+B42+B47</f>
        <v/>
      </c>
      <c r="C49" s="13">
        <f>C29+C42+C47</f>
        <v/>
      </c>
    </row>
  </sheetData>
  <mergeCells count="8">
    <mergeCell ref="A1:C1"/>
    <mergeCell ref="A5:C5"/>
    <mergeCell ref="A31:C31"/>
    <mergeCell ref="A17:C17"/>
    <mergeCell ref="A30:C30"/>
    <mergeCell ref="A4:C4"/>
    <mergeCell ref="A43:C43"/>
    <mergeCell ref="A2:C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showGridLines="0" zoomScale="70" zoomScaleNormal="70" workbookViewId="0">
      <pane ySplit="3" topLeftCell="A4" activePane="bottomLeft" state="frozen"/>
      <selection pane="bottomLeft" activeCell="E57" sqref="E57"/>
    </sheetView>
  </sheetViews>
  <sheetFormatPr baseColWidth="10" defaultColWidth="8.88671875" defaultRowHeight="14.4"/>
  <cols>
    <col width="54" customWidth="1" style="23" min="1" max="1"/>
    <col width="20" customWidth="1" style="23" min="2" max="5"/>
  </cols>
  <sheetData>
    <row r="1" ht="30" customHeight="1" s="23">
      <c r="A1" s="27" t="inlineStr">
        <is>
          <t>COMPTE DE PRODUITS ET CHARGES  |  Du 01/01/2017 au 31/12/2017</t>
        </is>
      </c>
      <c r="B1" s="34" t="n"/>
      <c r="C1" s="34" t="n"/>
      <c r="D1" s="34" t="n"/>
      <c r="E1" s="33" t="n"/>
    </row>
    <row r="2" ht="22.05" customHeight="1" s="23">
      <c r="A2" s="26" t="inlineStr">
        <is>
          <t>AGENCE DU BASSIN HYDRAULIQUE DU SEBOU  —  Hors Taxes</t>
        </is>
      </c>
      <c r="B2" s="34" t="n"/>
      <c r="C2" s="34" t="n"/>
      <c r="D2" s="34" t="n"/>
      <c r="E2" s="33" t="n"/>
    </row>
    <row r="3" ht="36" customHeight="1" s="23">
      <c r="A3" s="1" t="inlineStr">
        <is>
          <t>DÉSIGNATION</t>
        </is>
      </c>
      <c r="B3" s="1" t="inlineStr">
        <is>
          <t>Propres à l'exercice N</t>
        </is>
      </c>
      <c r="C3" s="1" t="inlineStr">
        <is>
          <t>Exercices précédents</t>
        </is>
      </c>
      <c r="D3" s="1" t="inlineStr">
        <is>
          <t>TOTAL N</t>
        </is>
      </c>
      <c r="E3" s="1" t="inlineStr">
        <is>
          <t>TOTAL N-1</t>
        </is>
      </c>
    </row>
    <row r="4" ht="18" customHeight="1" s="23">
      <c r="A4" s="25" t="inlineStr">
        <is>
          <t xml:space="preserve">  ▶  PRODUITS D'EXPLOITATION</t>
        </is>
      </c>
      <c r="B4" s="34" t="n"/>
      <c r="C4" s="34" t="n"/>
      <c r="D4" s="34" t="n"/>
      <c r="E4" s="33" t="n"/>
    </row>
    <row r="5" ht="18" customHeight="1" s="23">
      <c r="A5" s="14" t="inlineStr">
        <is>
          <t>Ventes de marchandises (en l'état)</t>
        </is>
      </c>
      <c r="B5" s="11" t="n"/>
      <c r="C5" s="11" t="n"/>
      <c r="D5" s="11">
        <f>B5+C5</f>
        <v/>
      </c>
      <c r="E5" s="11" t="n"/>
    </row>
    <row r="6" ht="18" customHeight="1" s="23">
      <c r="A6" s="15" t="inlineStr">
        <is>
          <t>Ventes de biens et services produits</t>
        </is>
      </c>
      <c r="B6" s="9" t="n"/>
      <c r="C6" s="9" t="n"/>
      <c r="D6" s="9">
        <f>B6+C6</f>
        <v/>
      </c>
      <c r="E6" s="9" t="n"/>
    </row>
    <row r="7" ht="18" customHeight="1" s="23">
      <c r="A7" s="10" t="inlineStr">
        <is>
          <t>Chiffre d'affaires</t>
        </is>
      </c>
      <c r="B7" s="11">
        <f>B6+B5</f>
        <v/>
      </c>
      <c r="C7" s="11">
        <f>C6+C5</f>
        <v/>
      </c>
      <c r="D7" s="11">
        <f>D6+D5</f>
        <v/>
      </c>
      <c r="E7" s="11">
        <f>E6+E5</f>
        <v/>
      </c>
    </row>
    <row r="8" ht="18" customHeight="1" s="23">
      <c r="A8" s="8" t="inlineStr">
        <is>
          <t>Variation de stocks de produits</t>
        </is>
      </c>
      <c r="B8" s="9" t="n"/>
      <c r="C8" s="9" t="n"/>
      <c r="D8" s="9">
        <f>B8+C8</f>
        <v/>
      </c>
      <c r="E8" s="9" t="n"/>
    </row>
    <row r="9" ht="18" customHeight="1" s="23">
      <c r="A9" s="10" t="inlineStr">
        <is>
          <t>Immobilisations produites par l'entreprise</t>
        </is>
      </c>
      <c r="B9" s="11" t="n"/>
      <c r="C9" s="11" t="n"/>
      <c r="D9" s="11">
        <f>B9+C9</f>
        <v/>
      </c>
      <c r="E9" s="11" t="n"/>
    </row>
    <row r="10" ht="18" customHeight="1" s="23">
      <c r="A10" s="15" t="inlineStr">
        <is>
          <t>Subventions d'exploitation</t>
        </is>
      </c>
      <c r="B10" s="9" t="n"/>
      <c r="C10" s="9" t="n"/>
      <c r="D10" s="9">
        <f>B10+C10</f>
        <v/>
      </c>
      <c r="E10" s="9" t="n"/>
    </row>
    <row r="11" ht="18" customHeight="1" s="23">
      <c r="A11" s="14" t="inlineStr">
        <is>
          <t>Autres produits d'exploitation</t>
        </is>
      </c>
      <c r="B11" s="11" t="n"/>
      <c r="C11" s="11" t="n"/>
      <c r="D11" s="11">
        <f>B11+C11</f>
        <v/>
      </c>
      <c r="E11" s="11" t="n"/>
    </row>
    <row r="12" ht="18" customHeight="1" s="23">
      <c r="A12" s="15" t="inlineStr">
        <is>
          <t>Reprises d'exploitation : transferts de charges</t>
        </is>
      </c>
      <c r="B12" s="9" t="n"/>
      <c r="C12" s="9" t="n"/>
      <c r="D12" s="9">
        <f>B12+C12</f>
        <v/>
      </c>
      <c r="E12" s="9" t="n"/>
    </row>
    <row r="13" ht="18" customHeight="1" s="23">
      <c r="A13" s="12" t="inlineStr">
        <is>
          <t>TOTAL I - PRODUITS D'EXPLOITATION</t>
        </is>
      </c>
      <c r="B13" s="13">
        <f>B12+B11+B10+B9+B8+B7</f>
        <v/>
      </c>
      <c r="C13" s="13">
        <f>C12+C11+C10+C9+C8+C7</f>
        <v/>
      </c>
      <c r="D13" s="13">
        <f>D12+D11+D10+D9+D8+D7</f>
        <v/>
      </c>
      <c r="E13" s="13">
        <f>E12+E11+E10+E9+E8+E7</f>
        <v/>
      </c>
    </row>
    <row r="14" ht="18" customHeight="1" s="23">
      <c r="A14" s="25" t="inlineStr">
        <is>
          <t xml:space="preserve">  ▶  CHARGES D'EXPLOITATION</t>
        </is>
      </c>
      <c r="B14" s="34" t="n"/>
      <c r="C14" s="34" t="n"/>
      <c r="D14" s="34" t="n"/>
      <c r="E14" s="33" t="n"/>
    </row>
    <row r="15" ht="18" customHeight="1" s="23">
      <c r="A15" s="14" t="inlineStr">
        <is>
          <t>Achats revendus de marchandises</t>
        </is>
      </c>
      <c r="B15" s="11" t="n"/>
      <c r="C15" s="11" t="n"/>
      <c r="D15" s="11">
        <f>B15+C15</f>
        <v/>
      </c>
      <c r="E15" s="11" t="n"/>
    </row>
    <row r="16" ht="18" customHeight="1" s="23">
      <c r="A16" s="15" t="inlineStr">
        <is>
          <t>Achats consommés de matières et fournitures</t>
        </is>
      </c>
      <c r="B16" s="11" t="n"/>
      <c r="C16" s="11" t="n"/>
      <c r="D16" s="9">
        <f>B16+C16</f>
        <v/>
      </c>
      <c r="E16" s="11" t="n"/>
    </row>
    <row r="17" ht="18" customHeight="1" s="23">
      <c r="A17" s="14" t="inlineStr">
        <is>
          <t>Autres charges externes</t>
        </is>
      </c>
      <c r="B17" s="11" t="n"/>
      <c r="C17" s="11" t="n"/>
      <c r="D17" s="11">
        <f>B17+C17</f>
        <v/>
      </c>
      <c r="E17" s="11" t="n"/>
    </row>
    <row r="18" ht="18" customHeight="1" s="23">
      <c r="A18" s="15" t="inlineStr">
        <is>
          <t>Impôts et taxes</t>
        </is>
      </c>
      <c r="B18" s="9" t="n"/>
      <c r="C18" s="9" t="n"/>
      <c r="D18" s="9">
        <f>B18+C18</f>
        <v/>
      </c>
      <c r="E18" s="9" t="n"/>
    </row>
    <row r="19" ht="18" customHeight="1" s="23">
      <c r="A19" s="14" t="inlineStr">
        <is>
          <t>Charges de personnel</t>
        </is>
      </c>
      <c r="B19" s="11" t="n"/>
      <c r="C19" s="11" t="n"/>
      <c r="D19" s="11">
        <f>B19+C19</f>
        <v/>
      </c>
      <c r="E19" s="11" t="n"/>
    </row>
    <row r="20" ht="18" customHeight="1" s="23">
      <c r="A20" s="15" t="inlineStr">
        <is>
          <t>Autres charges d'exploitation</t>
        </is>
      </c>
      <c r="B20" s="9" t="n"/>
      <c r="C20" s="9" t="n"/>
      <c r="D20" s="9">
        <f>B20+C20</f>
        <v/>
      </c>
      <c r="E20" s="9" t="n"/>
    </row>
    <row r="21" ht="18" customHeight="1" s="23">
      <c r="A21" s="14" t="inlineStr">
        <is>
          <t>Dotations d'exploitation</t>
        </is>
      </c>
      <c r="B21" s="11" t="n"/>
      <c r="C21" s="11" t="n"/>
      <c r="D21" s="11">
        <f>B21+C21</f>
        <v/>
      </c>
      <c r="E21" s="11" t="n"/>
    </row>
    <row r="22" ht="18" customHeight="1" s="23">
      <c r="A22" s="12" t="inlineStr">
        <is>
          <t>TOTAL II - CHARGES D'EXPLOITATION</t>
        </is>
      </c>
      <c r="B22" s="13">
        <f>B15+B16+B17+B18+B19+B20+B21</f>
        <v/>
      </c>
      <c r="C22" s="13">
        <f>C15+C16+C17+C18+C19+C20+C21</f>
        <v/>
      </c>
      <c r="D22" s="13">
        <f>D15+D16+D17+D18+D19+D20+D21</f>
        <v/>
      </c>
      <c r="E22" s="13">
        <f>E15+E16+E17+E18+E19+E20+E21</f>
        <v/>
      </c>
    </row>
    <row r="23" ht="18" customHeight="1" s="23">
      <c r="A23" s="12" t="inlineStr">
        <is>
          <t>RÉSULTAT D'EXPLOITATION (I-II)</t>
        </is>
      </c>
      <c r="B23" s="37">
        <f>B13-B22</f>
        <v/>
      </c>
      <c r="C23" s="37">
        <f>C13-C22</f>
        <v/>
      </c>
      <c r="D23" s="37">
        <f>D13-D22</f>
        <v/>
      </c>
      <c r="E23" s="37">
        <f>E13-E22</f>
        <v/>
      </c>
    </row>
    <row r="24" ht="18" customHeight="1" s="23">
      <c r="A24" s="25" t="inlineStr">
        <is>
          <t xml:space="preserve">  ▶  PRODUITS FINANCIERS</t>
        </is>
      </c>
      <c r="B24" s="34" t="n"/>
      <c r="C24" s="34" t="n"/>
      <c r="D24" s="34" t="n"/>
      <c r="E24" s="33" t="n"/>
    </row>
    <row r="25" ht="18" customHeight="1" s="23">
      <c r="A25" s="14" t="inlineStr">
        <is>
          <t>Produits des titres de participation</t>
        </is>
      </c>
      <c r="B25" s="11" t="n"/>
      <c r="C25" s="11" t="n"/>
      <c r="D25" s="11">
        <f>B25+C25</f>
        <v/>
      </c>
      <c r="E25" s="11" t="n"/>
    </row>
    <row r="26" ht="18" customHeight="1" s="23">
      <c r="A26" s="15" t="inlineStr">
        <is>
          <t>Gains de change</t>
        </is>
      </c>
      <c r="B26" s="9" t="n"/>
      <c r="C26" s="9" t="n"/>
      <c r="D26" s="9">
        <f>B26+C26</f>
        <v/>
      </c>
      <c r="E26" s="9" t="n"/>
    </row>
    <row r="27" ht="18" customHeight="1" s="23">
      <c r="A27" s="14" t="inlineStr">
        <is>
          <t>Intérêts et autres produits financiers</t>
        </is>
      </c>
      <c r="B27" s="11" t="n"/>
      <c r="C27" s="11" t="n"/>
      <c r="D27" s="11">
        <f>B27+C27</f>
        <v/>
      </c>
      <c r="E27" s="11" t="n"/>
    </row>
    <row r="28" ht="18" customHeight="1" s="23">
      <c r="A28" s="15" t="inlineStr">
        <is>
          <t>Reprises financières : transferts de charges</t>
        </is>
      </c>
      <c r="B28" s="9" t="n"/>
      <c r="C28" s="9" t="n"/>
      <c r="D28" s="9">
        <f>B28+C28</f>
        <v/>
      </c>
      <c r="E28" s="9" t="n"/>
    </row>
    <row r="29" ht="18" customHeight="1" s="23">
      <c r="A29" s="12" t="inlineStr">
        <is>
          <t>TOTAL IV - PRODUITS FINANCIERS</t>
        </is>
      </c>
      <c r="B29" s="13">
        <f>B25+B26+B27+B28</f>
        <v/>
      </c>
      <c r="C29" s="13">
        <f>C25+C26+C27+C28</f>
        <v/>
      </c>
      <c r="D29" s="13">
        <f>D25+D26+D27+D28</f>
        <v/>
      </c>
      <c r="E29" s="13">
        <f>E25+E26+E27+E28</f>
        <v/>
      </c>
    </row>
    <row r="30" ht="18" customHeight="1" s="23">
      <c r="A30" s="25" t="inlineStr">
        <is>
          <t xml:space="preserve">  ▶  CHARGES FINANCIÈRES</t>
        </is>
      </c>
      <c r="B30" s="34" t="n"/>
      <c r="C30" s="34" t="n"/>
      <c r="D30" s="34" t="n"/>
      <c r="E30" s="33" t="n"/>
    </row>
    <row r="31" ht="18" customHeight="1" s="23">
      <c r="A31" s="14" t="inlineStr">
        <is>
          <t>Charges d'intérêts</t>
        </is>
      </c>
      <c r="B31" s="11" t="n"/>
      <c r="C31" s="11" t="n"/>
      <c r="D31" s="11">
        <f>B31+C31</f>
        <v/>
      </c>
      <c r="E31" s="11" t="n"/>
    </row>
    <row r="32" ht="18" customHeight="1" s="23">
      <c r="A32" s="15" t="inlineStr">
        <is>
          <t>Pertes de change</t>
        </is>
      </c>
      <c r="B32" s="9" t="n"/>
      <c r="C32" s="9" t="n"/>
      <c r="D32" s="9">
        <f>B32+C32</f>
        <v/>
      </c>
      <c r="E32" s="9" t="n"/>
    </row>
    <row r="33" ht="18" customHeight="1" s="23">
      <c r="A33" s="14" t="inlineStr">
        <is>
          <t>Autres charges financières</t>
        </is>
      </c>
      <c r="B33" s="11" t="n"/>
      <c r="C33" s="11" t="n"/>
      <c r="D33" s="11">
        <f>B33+C33</f>
        <v/>
      </c>
      <c r="E33" s="11" t="n"/>
    </row>
    <row r="34" ht="18" customHeight="1" s="23">
      <c r="A34" s="15" t="inlineStr">
        <is>
          <t>Dotations financières</t>
        </is>
      </c>
      <c r="B34" s="9" t="n"/>
      <c r="C34" s="9" t="n"/>
      <c r="D34" s="9">
        <f>B34+C34</f>
        <v/>
      </c>
      <c r="E34" s="9" t="n"/>
    </row>
    <row r="35" ht="18" customHeight="1" s="23">
      <c r="A35" s="12" t="inlineStr">
        <is>
          <t>TOTAL V - CHARGES FINANCIÈRES</t>
        </is>
      </c>
      <c r="B35" s="13">
        <f>B31+B32+B33+B34</f>
        <v/>
      </c>
      <c r="C35" s="13">
        <f>C31+C32+C33+C34</f>
        <v/>
      </c>
      <c r="D35" s="13">
        <f>D31+D32+D33+D34</f>
        <v/>
      </c>
      <c r="E35" s="13">
        <f>E31+E32+E33+E34</f>
        <v/>
      </c>
    </row>
    <row r="36" ht="18" customHeight="1" s="23">
      <c r="A36" s="12" t="inlineStr">
        <is>
          <t>RÉSULTAT FINANCIER (IV-V)</t>
        </is>
      </c>
      <c r="B36" s="13">
        <f>B29-B35</f>
        <v/>
      </c>
      <c r="C36" s="13">
        <f>C29-C35</f>
        <v/>
      </c>
      <c r="D36" s="13">
        <f>D29-D35</f>
        <v/>
      </c>
      <c r="E36" s="13">
        <f>E29-E35</f>
        <v/>
      </c>
    </row>
    <row r="37" ht="18" customHeight="1" s="23">
      <c r="A37" s="12" t="inlineStr">
        <is>
          <t>RÉSULTAT COURANT (III+VI)</t>
        </is>
      </c>
      <c r="B37" s="37">
        <f>B23+B36</f>
        <v/>
      </c>
      <c r="C37" s="37">
        <f>C23+C36</f>
        <v/>
      </c>
      <c r="D37" s="37">
        <f>D23+D36</f>
        <v/>
      </c>
      <c r="E37" s="37">
        <f>E23+E36</f>
        <v/>
      </c>
    </row>
    <row r="38" ht="18" customHeight="1" s="23">
      <c r="A38" s="25" t="inlineStr">
        <is>
          <t xml:space="preserve">  ▶  PRODUITS NON COURANTS</t>
        </is>
      </c>
      <c r="B38" s="34" t="n"/>
      <c r="C38" s="34" t="n"/>
      <c r="D38" s="34" t="n"/>
      <c r="E38" s="33" t="n"/>
    </row>
    <row r="39" ht="18" customHeight="1" s="23">
      <c r="A39" s="14" t="inlineStr">
        <is>
          <t>Produits des cessions d'immobilisations</t>
        </is>
      </c>
      <c r="B39" s="11" t="n"/>
      <c r="C39" s="11" t="n"/>
      <c r="D39" s="11">
        <f>B39+C39</f>
        <v/>
      </c>
      <c r="E39" s="11" t="n"/>
    </row>
    <row r="40" ht="18" customHeight="1" s="23">
      <c r="A40" s="15" t="inlineStr">
        <is>
          <t>Subventions d'équilibre</t>
        </is>
      </c>
      <c r="B40" s="9" t="n"/>
      <c r="C40" s="9" t="n"/>
      <c r="D40" s="9">
        <f>B40+C40</f>
        <v/>
      </c>
      <c r="E40" s="9" t="n"/>
    </row>
    <row r="41" ht="18" customHeight="1" s="23">
      <c r="A41" s="14" t="inlineStr">
        <is>
          <t>Reprises sur subventions d'investissement</t>
        </is>
      </c>
      <c r="B41" s="11" t="n"/>
      <c r="C41" s="11" t="n"/>
      <c r="D41" s="11">
        <f>B41+C41</f>
        <v/>
      </c>
      <c r="E41" s="11" t="n"/>
    </row>
    <row r="42" ht="18" customHeight="1" s="23">
      <c r="A42" s="15" t="inlineStr">
        <is>
          <t>Autres produits non courants</t>
        </is>
      </c>
      <c r="B42" s="9" t="n"/>
      <c r="C42" s="9" t="n"/>
      <c r="D42" s="9">
        <f>B42+C42</f>
        <v/>
      </c>
      <c r="E42" s="9" t="n"/>
    </row>
    <row r="43" ht="18" customHeight="1" s="23">
      <c r="A43" s="14" t="inlineStr">
        <is>
          <t>Reprises non courantes ; transferts de charges</t>
        </is>
      </c>
      <c r="B43" s="11" t="n"/>
      <c r="C43" s="11" t="n"/>
      <c r="D43" s="11">
        <f>B43+C43</f>
        <v/>
      </c>
      <c r="E43" s="11" t="n"/>
    </row>
    <row r="44" ht="18" customHeight="1" s="23">
      <c r="A44" s="12" t="inlineStr">
        <is>
          <t>TOTAL VIII - PRODUITS NON COURANTS</t>
        </is>
      </c>
      <c r="B44" s="13">
        <f>B39+B40+B41+B42+B43</f>
        <v/>
      </c>
      <c r="C44" s="13">
        <f>C39+C40+C41+C42+C43</f>
        <v/>
      </c>
      <c r="D44" s="13">
        <f>D39+D40+D41+D42+D43</f>
        <v/>
      </c>
      <c r="E44" s="13">
        <f>E39+E40+E41+E42+E43</f>
        <v/>
      </c>
    </row>
    <row r="45" ht="18" customHeight="1" s="23">
      <c r="A45" s="25" t="inlineStr">
        <is>
          <t xml:space="preserve">  ▶  CHARGES NON COURANTS</t>
        </is>
      </c>
      <c r="B45" s="34" t="n"/>
      <c r="C45" s="34" t="n"/>
      <c r="D45" s="34" t="n"/>
      <c r="E45" s="33" t="n"/>
    </row>
    <row r="46" ht="18" customHeight="1" s="23">
      <c r="A46" s="15" t="inlineStr">
        <is>
          <t>Val. nettes d'amort. des immobilisations cédées</t>
        </is>
      </c>
      <c r="B46" s="9" t="n"/>
      <c r="C46" s="9" t="n"/>
      <c r="D46" s="9">
        <f>B46+C46</f>
        <v/>
      </c>
      <c r="E46" s="9" t="n"/>
    </row>
    <row r="47" ht="18" customHeight="1" s="23">
      <c r="A47" s="14" t="inlineStr">
        <is>
          <t>Subventions accordées</t>
        </is>
      </c>
      <c r="B47" s="11" t="n"/>
      <c r="C47" s="11" t="n"/>
      <c r="D47" s="11">
        <f>B47+C47</f>
        <v/>
      </c>
      <c r="E47" s="11" t="n"/>
    </row>
    <row r="48" ht="18" customHeight="1" s="23">
      <c r="A48" s="15" t="inlineStr">
        <is>
          <t>Autres charges non courantes</t>
        </is>
      </c>
      <c r="B48" s="9" t="n"/>
      <c r="C48" s="9" t="n"/>
      <c r="D48" s="9">
        <f>B48+C48</f>
        <v/>
      </c>
      <c r="E48" s="9" t="n"/>
    </row>
    <row r="49" ht="18" customHeight="1" s="23">
      <c r="A49" s="14" t="inlineStr">
        <is>
          <t>Dotations non courantes aux amort. et provisions</t>
        </is>
      </c>
      <c r="B49" s="11" t="n"/>
      <c r="C49" s="11" t="n"/>
      <c r="D49" s="11">
        <f>B49+C49</f>
        <v/>
      </c>
      <c r="E49" s="11" t="n"/>
    </row>
    <row r="50" ht="18" customHeight="1" s="23">
      <c r="A50" s="12" t="inlineStr">
        <is>
          <t>TOTAL IX - CHARGES NON COURANTS</t>
        </is>
      </c>
      <c r="B50" s="13">
        <f>B46+B47+B48+B49</f>
        <v/>
      </c>
      <c r="C50" s="13">
        <f>C46+C47+C48+C49</f>
        <v/>
      </c>
      <c r="D50" s="13">
        <f>D46+D47+D48+D49</f>
        <v/>
      </c>
      <c r="E50" s="13">
        <f>E46+E47+E48+E49</f>
        <v/>
      </c>
    </row>
    <row r="51" ht="18" customHeight="1" s="23">
      <c r="A51" s="12" t="inlineStr">
        <is>
          <t>RÉSULTAT NON COURANT (VIII-IX)</t>
        </is>
      </c>
      <c r="B51" s="37">
        <f>B44-B50</f>
        <v/>
      </c>
      <c r="C51" s="37">
        <f>C44-C50</f>
        <v/>
      </c>
      <c r="D51" s="37">
        <f>D44-D50</f>
        <v/>
      </c>
      <c r="E51" s="37">
        <f>E44-E50</f>
        <v/>
      </c>
    </row>
    <row r="52" ht="18" customHeight="1" s="23">
      <c r="A52" s="12" t="inlineStr">
        <is>
          <t>RÉSULTAT AVANT IMPÔTS (VII+X)</t>
        </is>
      </c>
      <c r="B52" s="37">
        <f>B37+B51</f>
        <v/>
      </c>
      <c r="C52" s="37">
        <f>C37+C51</f>
        <v/>
      </c>
      <c r="D52" s="37">
        <f>D37+D51</f>
        <v/>
      </c>
      <c r="E52" s="37">
        <f>E37+E51</f>
        <v/>
      </c>
    </row>
    <row r="53" ht="18" customHeight="1" s="23">
      <c r="A53" s="12" t="inlineStr">
        <is>
          <t>IMPÔTS SUR LES BÉNÉFICES</t>
        </is>
      </c>
      <c r="B53" s="13" t="n"/>
      <c r="C53" s="13" t="n"/>
      <c r="D53" s="13">
        <f>B53+C53</f>
        <v/>
      </c>
      <c r="E53" s="13" t="n"/>
    </row>
    <row r="54" ht="18" customHeight="1" s="23">
      <c r="A54" s="12" t="inlineStr">
        <is>
          <t>RÉSULTAT NET (XI-XII)</t>
        </is>
      </c>
      <c r="B54" s="13">
        <f>B52-B53</f>
        <v/>
      </c>
      <c r="C54" s="13">
        <f>C52-C53</f>
        <v/>
      </c>
      <c r="D54" s="13">
        <f>D52-D53</f>
        <v/>
      </c>
      <c r="E54" s="13">
        <f>E52-E53</f>
        <v/>
      </c>
    </row>
    <row r="55" ht="18" customHeight="1" s="23">
      <c r="A55" s="12" t="inlineStr">
        <is>
          <t>TOTAL DES PRODUITS (I+IV+VIII)</t>
        </is>
      </c>
      <c r="B55" s="13">
        <f>B13+B29+B44</f>
        <v/>
      </c>
      <c r="C55" s="13">
        <f>C13+C29+C44</f>
        <v/>
      </c>
      <c r="D55" s="13">
        <f>D13+D29+D44</f>
        <v/>
      </c>
      <c r="E55" s="13">
        <f>E13+E29+E44</f>
        <v/>
      </c>
    </row>
    <row r="56" ht="18" customHeight="1" s="23">
      <c r="A56" s="12" t="inlineStr">
        <is>
          <t>TOTAL DES CHARGES (II+V+IX+XIII)</t>
        </is>
      </c>
      <c r="B56" s="13">
        <f>B22+B35+B50+B53</f>
        <v/>
      </c>
      <c r="C56" s="13">
        <f>C22+C35+C50+C53</f>
        <v/>
      </c>
      <c r="D56" s="13">
        <f>D22+D35+D50+D53</f>
        <v/>
      </c>
      <c r="E56" s="13">
        <f>E22+E35+E50+E53</f>
        <v/>
      </c>
    </row>
    <row r="57" ht="18" customHeight="1" s="23">
      <c r="A57" s="12" t="inlineStr">
        <is>
          <t>RÉSULTAT NET (Total produits - Total charges)</t>
        </is>
      </c>
      <c r="B57" s="13">
        <f>B55-B56</f>
        <v/>
      </c>
      <c r="C57" s="13">
        <f>C55-C56</f>
        <v/>
      </c>
      <c r="D57" s="13">
        <f>D55-D56</f>
        <v/>
      </c>
      <c r="E57" s="13">
        <f>E55-E56</f>
        <v/>
      </c>
    </row>
  </sheetData>
  <mergeCells count="8">
    <mergeCell ref="A30:E30"/>
    <mergeCell ref="A4:E4"/>
    <mergeCell ref="A38:E38"/>
    <mergeCell ref="A2:E2"/>
    <mergeCell ref="A24:E24"/>
    <mergeCell ref="A45:E45"/>
    <mergeCell ref="A1:E1"/>
    <mergeCell ref="A14:E14"/>
  </mergeCells>
  <pageMargins left="0.75" right="0.75" top="1" bottom="1" header="0.5" footer="0.5"/>
  <pageSetup orientation="portrait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1"/>
  <sheetViews>
    <sheetView showGridLines="0" tabSelected="1" workbookViewId="0">
      <pane ySplit="3" topLeftCell="A4" activePane="bottomLeft" state="frozen"/>
      <selection pane="bottomLeft" activeCell="B21" sqref="B21"/>
    </sheetView>
  </sheetViews>
  <sheetFormatPr baseColWidth="10" defaultColWidth="8.88671875" defaultRowHeight="14.4"/>
  <cols>
    <col width="42" customWidth="1" style="23" min="1" max="1"/>
    <col width="22" customWidth="1" style="23" min="2" max="4"/>
    <col width="8" customWidth="1" style="23" min="5" max="5"/>
  </cols>
  <sheetData>
    <row r="1" ht="37.95" customHeight="1" s="23">
      <c r="A1" s="24" t="inlineStr">
        <is>
          <t>TABLEAU DE BORD — SYNTHÈSE FINANCIÈRE</t>
        </is>
      </c>
      <c r="B1" s="34" t="n"/>
      <c r="C1" s="34" t="n"/>
      <c r="D1" s="34" t="n"/>
      <c r="E1" s="33" t="n"/>
    </row>
    <row r="2" ht="25.95" customHeight="1" s="23">
      <c r="A2" s="22" t="inlineStr">
        <is>
          <t>AGENCE DU BASSIN HYDRAULIQUE DU SEBOU</t>
        </is>
      </c>
      <c r="B2" s="34" t="n"/>
      <c r="C2" s="34" t="n"/>
      <c r="D2" s="34" t="n"/>
      <c r="E2" s="33" t="n"/>
    </row>
    <row r="3" ht="25.95" customHeight="1" s="23">
      <c r="A3" s="1" t="inlineStr">
        <is>
          <t>INDICATEUR</t>
        </is>
      </c>
      <c r="B3" s="1" t="inlineStr">
        <is>
          <t>EXERCICE N</t>
        </is>
      </c>
      <c r="C3" s="1" t="inlineStr">
        <is>
          <t>EXERCICE N-1</t>
        </is>
      </c>
      <c r="D3" s="1" t="inlineStr">
        <is>
          <t>Δ (N vs N-1)</t>
        </is>
      </c>
      <c r="E3" s="1" t="inlineStr">
        <is>
          <t>Unité</t>
        </is>
      </c>
    </row>
    <row r="4" ht="24" customHeight="1" s="23">
      <c r="A4" s="28" t="inlineStr">
        <is>
          <t>📈 COMPTE DE RÉSULTATS</t>
        </is>
      </c>
      <c r="B4" s="34" t="n"/>
      <c r="C4" s="34" t="n"/>
      <c r="D4" s="34" t="n"/>
      <c r="E4" s="33" t="n"/>
    </row>
    <row r="5" ht="22.05" customHeight="1" s="23">
      <c r="A5" s="16" t="inlineStr">
        <is>
          <t>Chiffre d'affaires</t>
        </is>
      </c>
      <c r="B5" s="17">
        <f>'4 - CPC'!D7</f>
        <v/>
      </c>
      <c r="C5" s="17">
        <f>'4 - CPC'!E7</f>
        <v/>
      </c>
      <c r="D5" s="17">
        <f>B5-C5</f>
        <v/>
      </c>
      <c r="E5" s="18" t="inlineStr">
        <is>
          <t>MAD</t>
        </is>
      </c>
    </row>
    <row r="6" ht="22.05" customHeight="1" s="23">
      <c r="A6" s="19" t="inlineStr">
        <is>
          <t>Produits d'exploitation</t>
        </is>
      </c>
      <c r="B6" s="20">
        <f>'4 - CPC'!D13</f>
        <v/>
      </c>
      <c r="C6" s="20">
        <f>'4 - CPC'!E13</f>
        <v/>
      </c>
      <c r="D6" s="20">
        <f>B6-C6</f>
        <v/>
      </c>
      <c r="E6" s="21" t="inlineStr">
        <is>
          <t>MAD</t>
        </is>
      </c>
    </row>
    <row r="7" ht="22.05" customHeight="1" s="23">
      <c r="A7" s="16" t="inlineStr">
        <is>
          <t>Charges d'exploitation</t>
        </is>
      </c>
      <c r="B7" s="17">
        <f>'4 - CPC'!D22</f>
        <v/>
      </c>
      <c r="C7" s="17">
        <f>'4 - CPC'!E22</f>
        <v/>
      </c>
      <c r="D7" s="17">
        <f>B7-C7</f>
        <v/>
      </c>
      <c r="E7" s="18" t="inlineStr">
        <is>
          <t>MAD</t>
        </is>
      </c>
    </row>
    <row r="8" ht="22.05" customHeight="1" s="23">
      <c r="A8" s="19" t="inlineStr">
        <is>
          <t>Résultat d'exploitation</t>
        </is>
      </c>
      <c r="B8" s="20">
        <f>'4 - CPC'!D23</f>
        <v/>
      </c>
      <c r="C8" s="20">
        <f>'4 - CPC'!E23</f>
        <v/>
      </c>
      <c r="D8" s="20">
        <f>B8-C8</f>
        <v/>
      </c>
      <c r="E8" s="21" t="inlineStr">
        <is>
          <t>MAD</t>
        </is>
      </c>
    </row>
    <row r="9" ht="22.05" customHeight="1" s="23">
      <c r="A9" s="16" t="inlineStr">
        <is>
          <t>Résultat financier</t>
        </is>
      </c>
      <c r="B9" s="17">
        <f>'4 - CPC'!D36</f>
        <v/>
      </c>
      <c r="C9" s="17">
        <f>'4 - CPC'!E36</f>
        <v/>
      </c>
      <c r="D9" s="17">
        <f>B9-C9</f>
        <v/>
      </c>
      <c r="E9" s="18" t="inlineStr">
        <is>
          <t>MAD</t>
        </is>
      </c>
    </row>
    <row r="10" ht="22.05" customHeight="1" s="23">
      <c r="A10" s="19" t="inlineStr">
        <is>
          <t>Résultat courant</t>
        </is>
      </c>
      <c r="B10" s="20">
        <f>'4 - CPC'!D37</f>
        <v/>
      </c>
      <c r="C10" s="20">
        <f>'4 - CPC'!E37</f>
        <v/>
      </c>
      <c r="D10" s="20">
        <f>B10-C10</f>
        <v/>
      </c>
      <c r="E10" s="21" t="inlineStr">
        <is>
          <t>MAD</t>
        </is>
      </c>
    </row>
    <row r="11" ht="22.05" customHeight="1" s="23">
      <c r="A11" s="16" t="inlineStr">
        <is>
          <t>Résultat net de l'exercice</t>
        </is>
      </c>
      <c r="B11" s="17">
        <f>'4 - CPC'!D54</f>
        <v/>
      </c>
      <c r="C11" s="17">
        <f>'4 - CPC'!E54</f>
        <v/>
      </c>
      <c r="D11" s="17">
        <f>B11-C11</f>
        <v/>
      </c>
      <c r="E11" s="18" t="inlineStr">
        <is>
          <t>MAD</t>
        </is>
      </c>
    </row>
    <row r="12" ht="24" customHeight="1" s="23">
      <c r="A12" s="28" t="inlineStr">
        <is>
          <t>📊 BILAN — ACTIF</t>
        </is>
      </c>
      <c r="B12" s="34" t="n"/>
      <c r="C12" s="34" t="n"/>
      <c r="D12" s="34" t="n"/>
      <c r="E12" s="33" t="n"/>
    </row>
    <row r="13" ht="22.05" customHeight="1" s="23">
      <c r="A13" s="16" t="inlineStr">
        <is>
          <t>Actif immobilisé net</t>
        </is>
      </c>
      <c r="B13" s="17">
        <f>'2 - Bilan Actif'!D30</f>
        <v/>
      </c>
      <c r="C13" s="17">
        <f>'2 - Bilan Actif'!E30</f>
        <v/>
      </c>
      <c r="D13" s="17">
        <f>B13-C13</f>
        <v/>
      </c>
      <c r="E13" s="18" t="inlineStr">
        <is>
          <t>MAD</t>
        </is>
      </c>
    </row>
    <row r="14" ht="22.05" customHeight="1" s="23">
      <c r="A14" s="19" t="inlineStr">
        <is>
          <t>Actif circulant net</t>
        </is>
      </c>
      <c r="B14" s="20">
        <f>'2 - Bilan Actif'!D48</f>
        <v/>
      </c>
      <c r="C14" s="20">
        <f>'2 - Bilan Actif'!E48</f>
        <v/>
      </c>
      <c r="D14" s="20">
        <f>B14-C14</f>
        <v/>
      </c>
      <c r="E14" s="21" t="inlineStr">
        <is>
          <t>MAD</t>
        </is>
      </c>
    </row>
    <row r="15" ht="22.05" customHeight="1" s="23">
      <c r="A15" s="16" t="inlineStr">
        <is>
          <t>Trésorerie actif</t>
        </is>
      </c>
      <c r="B15" s="17">
        <f>'2 - Bilan Actif'!D53</f>
        <v/>
      </c>
      <c r="C15" s="17">
        <f>'2 - Bilan Actif'!E53</f>
        <v/>
      </c>
      <c r="D15" s="17">
        <f>B15-C15</f>
        <v/>
      </c>
      <c r="E15" s="18" t="inlineStr">
        <is>
          <t>MAD</t>
        </is>
      </c>
    </row>
    <row r="16" ht="22.05" customHeight="1" s="23">
      <c r="A16" s="19" t="inlineStr">
        <is>
          <t>TOTAL GÉNÉRAL ACTIF</t>
        </is>
      </c>
      <c r="B16" s="20">
        <f>'2 - Bilan Actif'!D54</f>
        <v/>
      </c>
      <c r="C16" s="20">
        <f>'2 - Bilan Actif'!E54</f>
        <v/>
      </c>
      <c r="D16" s="20">
        <f>B16-C16</f>
        <v/>
      </c>
      <c r="E16" s="21" t="inlineStr">
        <is>
          <t>MAD</t>
        </is>
      </c>
    </row>
    <row r="17" ht="24" customHeight="1" s="23">
      <c r="A17" s="28" t="inlineStr">
        <is>
          <t>📊 BILAN — PASSIF</t>
        </is>
      </c>
      <c r="B17" s="34" t="n"/>
      <c r="C17" s="34" t="n"/>
      <c r="D17" s="34" t="n"/>
      <c r="E17" s="33" t="n"/>
    </row>
    <row r="18" ht="22.05" customHeight="1" s="23">
      <c r="A18" s="19" t="inlineStr">
        <is>
          <t>Capitaux propres</t>
        </is>
      </c>
      <c r="B18" s="20">
        <f>'3 - Bilan Passif'!B16</f>
        <v/>
      </c>
      <c r="C18" s="20">
        <f>'3 - Bilan Passif'!C16</f>
        <v/>
      </c>
      <c r="D18" s="20">
        <f>B18-C18</f>
        <v/>
      </c>
      <c r="E18" s="21" t="inlineStr">
        <is>
          <t>MAD</t>
        </is>
      </c>
    </row>
    <row r="19" ht="22.05" customHeight="1" s="23">
      <c r="A19" s="16" t="inlineStr">
        <is>
          <t>Subventions d'investissement</t>
        </is>
      </c>
      <c r="B19" s="17">
        <f>'3 - Bilan Passif'!B18</f>
        <v/>
      </c>
      <c r="C19" s="17">
        <f>'3 - Bilan Passif'!C18</f>
        <v/>
      </c>
      <c r="D19" s="17">
        <f>B19-C19</f>
        <v/>
      </c>
      <c r="E19" s="18" t="inlineStr">
        <is>
          <t>MAD</t>
        </is>
      </c>
    </row>
    <row r="20" ht="22.05" customHeight="1" s="23">
      <c r="A20" s="19" t="inlineStr">
        <is>
          <t>Financement permanent</t>
        </is>
      </c>
      <c r="B20" s="20">
        <f>'3 - Bilan Passif'!B29</f>
        <v/>
      </c>
      <c r="C20" s="20">
        <f>'3 - Bilan Passif'!C29</f>
        <v/>
      </c>
      <c r="D20" s="20">
        <f>B20-C20</f>
        <v/>
      </c>
      <c r="E20" s="21" t="inlineStr">
        <is>
          <t>MAD</t>
        </is>
      </c>
    </row>
    <row r="21" ht="22.05" customHeight="1" s="23">
      <c r="A21" s="16" t="inlineStr">
        <is>
          <t>TOTAL GÉNÉRAL PASSIF</t>
        </is>
      </c>
      <c r="B21" s="17">
        <f>'3 - Bilan Passif'!B48</f>
        <v/>
      </c>
      <c r="C21" s="17">
        <f>'3 - Bilan Passif'!C48</f>
        <v/>
      </c>
      <c r="D21" s="17">
        <f>B21-C21</f>
        <v/>
      </c>
      <c r="E21" s="18" t="inlineStr">
        <is>
          <t>MAD</t>
        </is>
      </c>
    </row>
  </sheetData>
  <mergeCells count="5">
    <mergeCell ref="A12:E12"/>
    <mergeCell ref="A4:E4"/>
    <mergeCell ref="A2:E2"/>
    <mergeCell ref="A1:E1"/>
    <mergeCell ref="A17:E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2026-03-25T11:08:42Z</dcterms:created>
  <dcterms:modified xmlns:dcterms="http://purl.org/dc/terms/" xmlns:xsi="http://www.w3.org/2001/XMLSchema-instance" xsi:type="dcterms:W3CDTF">2026-03-30T10:33:06Z</dcterms:modified>
  <cp:lastModifiedBy>G H</cp:lastModifiedBy>
</cp:coreProperties>
</file>