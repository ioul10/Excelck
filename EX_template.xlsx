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1400" windowHeight="7476" tabRatio="600" firstSheet="1" activeTab="3" autoFilterDateGrouping="1"/>
  </bookViews>
  <sheets>
    <sheet xmlns:r="http://schemas.openxmlformats.org/officeDocument/2006/relationships" name="1 - Infos Générales" sheetId="1" state="visible" r:id="rId1"/>
    <sheet xmlns:r="http://schemas.openxmlformats.org/officeDocument/2006/relationships" name="2 - Bilan Actif" sheetId="2" state="visible" r:id="rId2"/>
    <sheet xmlns:r="http://schemas.openxmlformats.org/officeDocument/2006/relationships" name="3 - Bilan Passif" sheetId="3" state="visible" r:id="rId3"/>
    <sheet xmlns:r="http://schemas.openxmlformats.org/officeDocument/2006/relationships" name="4 - CPC" sheetId="4" state="visible" r:id="rId4"/>
    <sheet xmlns:r="http://schemas.openxmlformats.org/officeDocument/2006/relationships" name="5 - Tableau de Bord" sheetId="5" state="visible" r:id="rId5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#,##0.00;\(#,##0.00\);&quot;-&quot;"/>
    <numFmt numFmtId="165" formatCode="_-* #,##0.00\ _€_-;\-* #,##0.00\ _€_-;_-* &quot;-&quot;??\ _€_-;_-@_-"/>
  </numFmts>
  <fonts count="20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FFFFFF"/>
      <sz val="11"/>
    </font>
    <font>
      <name val="Arial"/>
      <b val="1"/>
      <color rgb="FFFFFFFF"/>
      <sz val="10"/>
    </font>
    <font>
      <name val="Arial"/>
      <b val="1"/>
      <color rgb="FF1F3864"/>
      <sz val="10"/>
    </font>
    <font>
      <name val="Arial"/>
      <color rgb="FF1F3864"/>
      <sz val="10"/>
    </font>
    <font>
      <name val="Arial"/>
      <color rgb="FF000000"/>
      <sz val="10"/>
    </font>
    <font>
      <name val="Arial"/>
      <color rgb="FF888888"/>
      <sz val="9"/>
    </font>
    <font>
      <name val="Calibri"/>
      <family val="2"/>
      <color theme="1"/>
      <sz val="11"/>
      <scheme val="minor"/>
    </font>
    <font>
      <name val="Arial"/>
      <family val="2"/>
      <color rgb="FF000000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b val="1"/>
      <color rgb="FFFFFFFF"/>
      <sz val="10"/>
    </font>
    <font>
      <name val="Calibri"/>
      <family val="2"/>
      <b val="1"/>
      <color theme="0"/>
      <sz val="14"/>
      <scheme val="minor"/>
    </font>
    <font>
      <name val="Arial"/>
      <family val="2"/>
      <b val="1"/>
      <color theme="0"/>
      <sz val="13"/>
    </font>
    <font>
      <name val="Calibri"/>
      <family val="2"/>
      <b val="1"/>
      <color theme="0"/>
      <sz val="18"/>
      <scheme val="minor"/>
    </font>
    <font>
      <name val="Arial"/>
      <family val="2"/>
      <b val="1"/>
      <color theme="0"/>
      <sz val="9"/>
    </font>
    <font>
      <name val="Arial"/>
      <family val="2"/>
      <b val="1"/>
      <color theme="0"/>
      <sz val="14"/>
    </font>
    <font>
      <name val="Calibri"/>
      <family val="2"/>
      <b val="1"/>
      <color theme="0"/>
      <sz val="22"/>
      <scheme val="minor"/>
    </font>
  </fonts>
  <fills count="11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EEAF1"/>
      </patternFill>
    </fill>
    <fill>
      <patternFill patternType="solid">
        <fgColor rgb="FFFFFFFF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0.3999755851924192"/>
        <bgColor indexed="64"/>
      </patternFill>
    </fill>
  </fills>
  <borders count="3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/>
      <diagonal/>
    </border>
    <border>
      <left/>
      <right style="thin">
        <color rgb="FFAAAAAA"/>
      </right>
      <top/>
      <bottom/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/>
      <right/>
      <top/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/>
      <top/>
      <bottom style="thin">
        <color indexed="64"/>
      </bottom>
      <diagonal/>
    </border>
  </borders>
  <cellStyleXfs count="2">
    <xf numFmtId="0" fontId="8" fillId="0" borderId="0"/>
    <xf numFmtId="43" fontId="8" fillId="0" borderId="0"/>
  </cellStyleXfs>
  <cellXfs count="93">
    <xf numFmtId="0" fontId="0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 indent="2"/>
    </xf>
    <xf numFmtId="164" fontId="6" fillId="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indent="2"/>
    </xf>
    <xf numFmtId="164" fontId="6" fillId="5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left" vertical="center"/>
    </xf>
    <xf numFmtId="164" fontId="3" fillId="2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 indent="1"/>
    </xf>
    <xf numFmtId="164" fontId="5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indent="1"/>
    </xf>
    <xf numFmtId="164" fontId="5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/>
    </xf>
    <xf numFmtId="0" fontId="0" fillId="0" borderId="0" pivotButton="0" quotePrefix="0" xfId="0"/>
    <xf numFmtId="165" fontId="3" fillId="2" borderId="1" applyAlignment="1" pivotButton="0" quotePrefix="0" xfId="1">
      <alignment horizontal="right" vertical="center"/>
    </xf>
    <xf numFmtId="0" fontId="9" fillId="4" borderId="1" applyAlignment="1" pivotButton="0" quotePrefix="0" xfId="0">
      <alignment horizontal="left" vertical="center"/>
    </xf>
    <xf numFmtId="165" fontId="6" fillId="5" borderId="1" applyAlignment="1" pivotButton="0" quotePrefix="0" xfId="1">
      <alignment horizontal="right" vertical="center"/>
    </xf>
    <xf numFmtId="165" fontId="6" fillId="4" borderId="1" applyAlignment="1" pivotButton="0" quotePrefix="0" xfId="1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 indent="1"/>
    </xf>
    <xf numFmtId="0" fontId="2" fillId="2" borderId="1" applyAlignment="1" pivotButton="0" quotePrefix="0" xfId="0">
      <alignment horizontal="left" vertical="center" indent="1"/>
    </xf>
    <xf numFmtId="0" fontId="0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3" fillId="2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3" fillId="2" borderId="4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164" fontId="3" fillId="6" borderId="1" applyAlignment="1" pivotButton="0" quotePrefix="0" xfId="0">
      <alignment horizontal="right" vertical="center"/>
    </xf>
    <xf numFmtId="0" fontId="12" fillId="0" borderId="0" pivotButton="0" quotePrefix="0" xfId="0"/>
    <xf numFmtId="0" fontId="13" fillId="3" borderId="1" applyAlignment="1" pivotButton="0" quotePrefix="0" xfId="0">
      <alignment horizontal="center" vertical="center" wrapText="1"/>
    </xf>
    <xf numFmtId="0" fontId="3" fillId="6" borderId="3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4" fillId="7" borderId="5" applyAlignment="1" pivotButton="0" quotePrefix="0" xfId="0">
      <alignment horizontal="center" vertical="center"/>
    </xf>
    <xf numFmtId="0" fontId="14" fillId="7" borderId="0" applyAlignment="1" pivotButton="0" quotePrefix="0" xfId="0">
      <alignment horizontal="center" vertical="center"/>
    </xf>
    <xf numFmtId="0" fontId="3" fillId="0" borderId="7" applyAlignment="1" pivotButton="0" quotePrefix="0" xfId="0">
      <alignment vertical="center"/>
    </xf>
    <xf numFmtId="164" fontId="10" fillId="8" borderId="0" pivotButton="0" quotePrefix="0" xfId="0"/>
    <xf numFmtId="164" fontId="10" fillId="8" borderId="0" pivotButton="0" quotePrefix="0" xfId="0"/>
    <xf numFmtId="0" fontId="11" fillId="0" borderId="13" applyAlignment="1" pivotButton="0" quotePrefix="0" xfId="0">
      <alignment vertical="center"/>
    </xf>
    <xf numFmtId="0" fontId="15" fillId="9" borderId="9" applyAlignment="1" pivotButton="0" quotePrefix="0" xfId="0">
      <alignment vertical="center"/>
    </xf>
    <xf numFmtId="0" fontId="10" fillId="9" borderId="9" applyAlignment="1" pivotButton="0" quotePrefix="0" xfId="0">
      <alignment vertical="center"/>
    </xf>
    <xf numFmtId="0" fontId="10" fillId="9" borderId="9" applyAlignment="1" pivotButton="0" quotePrefix="0" xfId="0">
      <alignment horizontal="center" vertical="center"/>
    </xf>
    <xf numFmtId="0" fontId="17" fillId="9" borderId="9" applyAlignment="1" pivotButton="0" quotePrefix="0" xfId="0">
      <alignment vertical="center"/>
    </xf>
    <xf numFmtId="0" fontId="16" fillId="9" borderId="14" applyAlignment="1" pivotButton="0" quotePrefix="0" xfId="0">
      <alignment horizontal="center" vertical="center"/>
    </xf>
    <xf numFmtId="0" fontId="16" fillId="9" borderId="15" applyAlignment="1" pivotButton="0" quotePrefix="0" xfId="0">
      <alignment horizontal="center" vertical="center"/>
    </xf>
    <xf numFmtId="0" fontId="19" fillId="9" borderId="10" applyAlignment="1" pivotButton="0" quotePrefix="0" xfId="0">
      <alignment horizontal="center" vertical="center"/>
    </xf>
    <xf numFmtId="0" fontId="0" fillId="0" borderId="17" pivotButton="0" quotePrefix="0" xfId="0"/>
    <xf numFmtId="0" fontId="10" fillId="9" borderId="18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0" fontId="10" fillId="9" borderId="19" applyAlignment="1" pivotButton="0" quotePrefix="0" xfId="0">
      <alignment horizontal="center" vertical="center"/>
    </xf>
    <xf numFmtId="0" fontId="10" fillId="9" borderId="20" applyAlignment="1" pivotButton="0" quotePrefix="0" xfId="0">
      <alignment vertical="center"/>
    </xf>
    <xf numFmtId="0" fontId="18" fillId="9" borderId="20" applyAlignment="1" pivotButton="0" quotePrefix="0" xfId="0">
      <alignment vertical="center"/>
    </xf>
    <xf numFmtId="0" fontId="10" fillId="9" borderId="11" applyAlignment="1" pivotButton="0" quotePrefix="0" xfId="0">
      <alignment horizontal="center" vertical="center"/>
    </xf>
    <xf numFmtId="0" fontId="10" fillId="9" borderId="12" applyAlignment="1" pivotButton="0" quotePrefix="0" xfId="0">
      <alignment horizontal="center" vertical="center"/>
    </xf>
    <xf numFmtId="0" fontId="10" fillId="9" borderId="2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3" fillId="3" borderId="17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16" fillId="10" borderId="22" applyAlignment="1" pivotButton="0" quotePrefix="0" xfId="0">
      <alignment horizontal="center" vertical="center"/>
    </xf>
    <xf numFmtId="0" fontId="3" fillId="2" borderId="6" applyAlignment="1" pivotButton="0" quotePrefix="0" xfId="0">
      <alignment horizontal="left" vertical="center"/>
    </xf>
    <xf numFmtId="0" fontId="3" fillId="2" borderId="23" applyAlignment="1" pivotButton="0" quotePrefix="0" xfId="0">
      <alignment horizontal="left" vertical="center"/>
    </xf>
    <xf numFmtId="0" fontId="10" fillId="8" borderId="3" applyAlignment="1" pivotButton="0" quotePrefix="0" xfId="0">
      <alignment horizontal="center" vertical="center"/>
    </xf>
    <xf numFmtId="0" fontId="10" fillId="9" borderId="16" applyAlignment="1" pivotButton="0" quotePrefix="0" xfId="0">
      <alignment horizontal="center" vertical="center"/>
    </xf>
    <xf numFmtId="0" fontId="10" fillId="9" borderId="0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30" pivotButton="0" quotePrefix="0" xfId="0"/>
    <xf numFmtId="0" fontId="0" fillId="0" borderId="18" pivotButton="0" quotePrefix="0" xfId="0"/>
    <xf numFmtId="0" fontId="0" fillId="0" borderId="26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5" pivotButton="0" quotePrefix="0" xfId="0"/>
    <xf numFmtId="0" fontId="3" fillId="2" borderId="25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31" pivotButton="0" quotePrefix="0" xfId="0"/>
    <xf numFmtId="165" fontId="6" fillId="5" borderId="1" applyAlignment="1" pivotButton="0" quotePrefix="0" xfId="1">
      <alignment horizontal="right" vertical="center"/>
    </xf>
    <xf numFmtId="165" fontId="6" fillId="4" borderId="1" applyAlignment="1" pivotButton="0" quotePrefix="0" xfId="1">
      <alignment horizontal="right" vertical="center"/>
    </xf>
    <xf numFmtId="0" fontId="3" fillId="3" borderId="22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3" pivotButton="0" quotePrefix="0" xfId="0"/>
    <xf numFmtId="165" fontId="3" fillId="2" borderId="1" applyAlignment="1" pivotButton="0" quotePrefix="0" xfId="1">
      <alignment horizontal="right" vertical="center"/>
    </xf>
  </cellXfs>
  <cellStyles count="2">
    <cellStyle name="Normal" xfId="0" builtinId="0"/>
    <cellStyle name="Milliers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B4" sqref="B4"/>
    </sheetView>
  </sheetViews>
  <sheetFormatPr baseColWidth="10" defaultColWidth="8.88671875" defaultRowHeight="14.4"/>
  <cols>
    <col width="30" customWidth="1" style="32" min="1" max="1"/>
    <col width="60" customWidth="1" style="32" min="2" max="2"/>
  </cols>
  <sheetData>
    <row r="1" ht="36" customHeight="1" s="32">
      <c r="A1" s="29" t="inlineStr">
        <is>
          <t>PIÈCES ANNEXES À LA DÉCLARATION FISCALE</t>
        </is>
      </c>
      <c r="B1" s="76" t="n"/>
    </row>
    <row r="2" ht="24" customHeight="1" s="32">
      <c r="A2" s="27" t="inlineStr">
        <is>
          <t>IMPÔTS SUR LES SOCIÉTÉS — Modèle Comptable Normal</t>
        </is>
      </c>
      <c r="B2" s="76" t="n"/>
    </row>
    <row r="3" ht="24" customHeight="1" s="32">
      <c r="A3" s="1" t="inlineStr">
        <is>
          <t>Champ</t>
        </is>
      </c>
      <c r="B3" s="1" t="inlineStr">
        <is>
          <t>Valeur</t>
        </is>
      </c>
    </row>
    <row r="4" ht="22.05" customHeight="1" s="32">
      <c r="A4" s="2" t="inlineStr">
        <is>
          <t>Raison sociale</t>
        </is>
      </c>
      <c r="B4" s="3" t="n"/>
    </row>
    <row r="5" ht="22.05" customHeight="1" s="32">
      <c r="A5" s="4" t="inlineStr">
        <is>
          <t>Taxe professionnelle</t>
        </is>
      </c>
      <c r="B5" s="5" t="n"/>
    </row>
    <row r="6" ht="22.05" customHeight="1" s="32">
      <c r="A6" s="2" t="inlineStr">
        <is>
          <t>Identifiant fiscal</t>
        </is>
      </c>
      <c r="B6" s="3" t="n"/>
    </row>
    <row r="7" ht="22.05" customHeight="1" s="32">
      <c r="A7" s="4" t="inlineStr">
        <is>
          <t>Adresse</t>
        </is>
      </c>
      <c r="B7" s="5" t="n"/>
    </row>
    <row r="8" ht="22.05" customHeight="1" s="32">
      <c r="A8" s="2" t="inlineStr">
        <is>
          <t>Exercice</t>
        </is>
      </c>
      <c r="B8" s="3" t="n"/>
    </row>
    <row r="9" ht="22.05" customHeight="1" s="32">
      <c r="A9" s="4" t="inlineStr">
        <is>
          <t>Date de déclaration</t>
        </is>
      </c>
      <c r="B9" s="5" t="n"/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showGridLines="0" zoomScale="70" zoomScaleNormal="70" workbookViewId="0">
      <pane ySplit="4" topLeftCell="A17" activePane="bottomLeft" state="frozen"/>
      <selection pane="bottomLeft" activeCell="A1" sqref="A1:F2"/>
    </sheetView>
  </sheetViews>
  <sheetFormatPr baseColWidth="10" defaultColWidth="8.88671875" defaultRowHeight="14.4"/>
  <cols>
    <col width="24" customWidth="1" style="32" min="1" max="1"/>
    <col width="47.77734375" customWidth="1" style="32" min="2" max="2"/>
    <col width="15.33203125" customWidth="1" style="32" min="3" max="3"/>
    <col width="16.44140625" customWidth="1" style="32" min="4" max="4"/>
    <col width="4.6640625" customWidth="1" style="32" min="5" max="5"/>
    <col width="24.44140625" bestFit="1" customWidth="1" style="32" min="6" max="6"/>
  </cols>
  <sheetData>
    <row r="1" ht="24" customHeight="1" s="32">
      <c r="A1" s="62" t="inlineStr">
        <is>
          <t>Tableau N°01</t>
        </is>
      </c>
      <c r="B1" s="56" t="inlineStr">
        <is>
          <t>Bilan (ACTIF)</t>
        </is>
      </c>
      <c r="C1" s="61" t="inlineStr">
        <is>
          <t>Identifiant fiscal:</t>
        </is>
      </c>
      <c r="D1" s="58">
        <f>'1 - Infos Générales'!B6</f>
        <v/>
      </c>
      <c r="E1" s="77" t="n"/>
      <c r="F1" s="78" t="n"/>
      <c r="G1" s="57" t="n"/>
    </row>
    <row r="2" ht="18.6" customHeight="1" s="32">
      <c r="A2" s="53">
        <f>'1 - Infos Générales'!B4</f>
        <v/>
      </c>
      <c r="B2" s="79" t="n"/>
      <c r="C2" s="52" t="inlineStr">
        <is>
          <t xml:space="preserve">Exercice </t>
        </is>
      </c>
      <c r="D2" s="63">
        <f>'1 - Infos Générales'!B8</f>
        <v/>
      </c>
      <c r="E2" s="80" t="n"/>
      <c r="F2" s="81" t="n"/>
    </row>
    <row r="3" ht="22.05" customHeight="1" s="32">
      <c r="A3" s="46" t="n"/>
      <c r="C3" s="44" t="inlineStr">
        <is>
          <t>EXERCICE</t>
        </is>
      </c>
      <c r="D3" s="82" t="n"/>
      <c r="E3" s="82" t="n"/>
      <c r="F3" s="45" t="inlineStr">
        <is>
          <t>EXERCICE PRECEDENT</t>
        </is>
      </c>
      <c r="G3" s="40" t="n"/>
    </row>
    <row r="4" ht="28.05" customHeight="1" s="32">
      <c r="B4" s="1" t="inlineStr">
        <is>
          <t>ACTIF</t>
        </is>
      </c>
      <c r="C4" s="41" t="inlineStr">
        <is>
          <t xml:space="preserve">BRUT </t>
        </is>
      </c>
      <c r="D4" s="41" t="inlineStr">
        <is>
          <t>AMORT. &amp; PROV.</t>
        </is>
      </c>
      <c r="E4" s="41" t="inlineStr">
        <is>
          <t>NET</t>
        </is>
      </c>
      <c r="F4" s="41" t="inlineStr">
        <is>
          <t>NET (N-1)</t>
        </is>
      </c>
    </row>
    <row r="5" ht="18" customHeight="1" s="32">
      <c r="A5" s="83" t="inlineStr">
        <is>
          <t xml:space="preserve">  ▶  ACTIF IMMOBILISÉ</t>
        </is>
      </c>
      <c r="B5" s="6" t="inlineStr">
        <is>
          <t>Immobilisations en non-valeurs [A]</t>
        </is>
      </c>
      <c r="C5" s="7">
        <f>C6+C7+C8</f>
        <v/>
      </c>
      <c r="D5" s="7">
        <f>D6+D7+D8</f>
        <v/>
      </c>
      <c r="E5" s="7">
        <f>C5-D5</f>
        <v/>
      </c>
      <c r="F5" s="7">
        <f>F6+F7+F8</f>
        <v/>
      </c>
    </row>
    <row r="6" ht="18" customHeight="1" s="32">
      <c r="A6" s="84" t="n"/>
      <c r="B6" s="8" t="inlineStr">
        <is>
          <t>Frais préliminaires</t>
        </is>
      </c>
      <c r="C6" s="9" t="n"/>
      <c r="D6" s="9" t="n"/>
      <c r="E6" s="9">
        <f>C6-D6</f>
        <v/>
      </c>
      <c r="F6" s="9" t="n"/>
    </row>
    <row r="7" ht="18" customHeight="1" s="32">
      <c r="A7" s="84" t="n"/>
      <c r="B7" s="10" t="inlineStr">
        <is>
          <t>Charges à répartir sur plusieurs exercices</t>
        </is>
      </c>
      <c r="C7" s="11" t="n"/>
      <c r="D7" s="11" t="n"/>
      <c r="E7" s="11">
        <f>C7-D7</f>
        <v/>
      </c>
      <c r="F7" s="11" t="n"/>
    </row>
    <row r="8" ht="18" customHeight="1" s="32">
      <c r="A8" s="84" t="n"/>
      <c r="B8" s="8" t="inlineStr">
        <is>
          <t>Primes de remboursement des obligations</t>
        </is>
      </c>
      <c r="C8" s="9" t="n"/>
      <c r="D8" s="9" t="n"/>
      <c r="E8" s="9">
        <f>C8-D8</f>
        <v/>
      </c>
      <c r="F8" s="9" t="n"/>
    </row>
    <row r="9" ht="18" customHeight="1" s="32">
      <c r="A9" s="84" t="n"/>
      <c r="B9" s="6" t="inlineStr">
        <is>
          <t>Immobilisations incorporelles [B]</t>
        </is>
      </c>
      <c r="C9" s="7">
        <f>C10+C11+C12+C13</f>
        <v/>
      </c>
      <c r="D9" s="7">
        <f>D10+D11+D12+D13</f>
        <v/>
      </c>
      <c r="E9" s="7">
        <f>C9-D9</f>
        <v/>
      </c>
      <c r="F9" s="7">
        <f>F10+F11+F12+F13</f>
        <v/>
      </c>
    </row>
    <row r="10" ht="18" customHeight="1" s="32">
      <c r="A10" s="84" t="n"/>
      <c r="B10" s="8" t="inlineStr">
        <is>
          <t>Immobilisations en Recherche et Développement</t>
        </is>
      </c>
      <c r="C10" s="9" t="n"/>
      <c r="D10" s="9" t="n"/>
      <c r="E10" s="9">
        <f>C10-D10</f>
        <v/>
      </c>
      <c r="F10" s="9" t="n"/>
    </row>
    <row r="11" ht="18" customHeight="1" s="32">
      <c r="A11" s="84" t="n"/>
      <c r="B11" s="10" t="inlineStr">
        <is>
          <t>Brevets, marques, droits et valeurs similaires</t>
        </is>
      </c>
      <c r="C11" s="11" t="n"/>
      <c r="D11" s="11" t="n"/>
      <c r="E11" s="11">
        <f>C11-D11</f>
        <v/>
      </c>
      <c r="F11" s="11" t="n"/>
    </row>
    <row r="12" ht="18" customHeight="1" s="32">
      <c r="A12" s="84" t="n"/>
      <c r="B12" s="8" t="inlineStr">
        <is>
          <t>Fonds commercial</t>
        </is>
      </c>
      <c r="C12" s="9" t="n"/>
      <c r="D12" s="9" t="n"/>
      <c r="E12" s="9">
        <f>C12-D12</f>
        <v/>
      </c>
      <c r="F12" s="9" t="n"/>
    </row>
    <row r="13" ht="18" customHeight="1" s="32">
      <c r="A13" s="84" t="n"/>
      <c r="B13" s="10" t="inlineStr">
        <is>
          <t>Autres immobilisations incorporelles</t>
        </is>
      </c>
      <c r="C13" s="11" t="n"/>
      <c r="D13" s="11" t="n"/>
      <c r="E13" s="11">
        <f>C13-D13</f>
        <v/>
      </c>
      <c r="F13" s="11" t="n"/>
    </row>
    <row r="14" ht="18" customHeight="1" s="32">
      <c r="A14" s="84" t="n"/>
      <c r="B14" s="6" t="inlineStr">
        <is>
          <t>Immobilisations corporelles [C]</t>
        </is>
      </c>
      <c r="C14" s="7">
        <f>C15+C16+C17+C18+C19+C20+C21</f>
        <v/>
      </c>
      <c r="D14" s="7">
        <f>D15+D16+D17+D18+D19+D20+D21</f>
        <v/>
      </c>
      <c r="E14" s="7">
        <f>C14-D14</f>
        <v/>
      </c>
      <c r="F14" s="7">
        <f>F15+F16+F17+F18+F19+F20+F21</f>
        <v/>
      </c>
    </row>
    <row r="15" ht="18" customHeight="1" s="32">
      <c r="A15" s="84" t="n"/>
      <c r="B15" s="10" t="inlineStr">
        <is>
          <t>Terrains</t>
        </is>
      </c>
      <c r="C15" s="11" t="n"/>
      <c r="D15" s="11" t="n"/>
      <c r="E15" s="11">
        <f>C15-D15</f>
        <v/>
      </c>
      <c r="F15" s="11" t="n"/>
    </row>
    <row r="16" ht="18" customHeight="1" s="32">
      <c r="A16" s="84" t="n"/>
      <c r="B16" s="8" t="inlineStr">
        <is>
          <t>Constructions</t>
        </is>
      </c>
      <c r="C16" s="9" t="n"/>
      <c r="D16" s="9" t="n"/>
      <c r="E16" s="9">
        <f>C16-D16</f>
        <v/>
      </c>
      <c r="F16" s="9" t="n"/>
    </row>
    <row r="17" ht="18" customHeight="1" s="32">
      <c r="A17" s="84" t="n"/>
      <c r="B17" s="10" t="inlineStr">
        <is>
          <t>Installations techniques, matériel et outillage</t>
        </is>
      </c>
      <c r="C17" s="11" t="n"/>
      <c r="D17" s="11" t="n"/>
      <c r="E17" s="11">
        <f>C17-D17</f>
        <v/>
      </c>
      <c r="F17" s="11" t="n"/>
    </row>
    <row r="18" ht="18" customHeight="1" s="32">
      <c r="A18" s="84" t="n"/>
      <c r="B18" s="8" t="inlineStr">
        <is>
          <t>Matériel de transport</t>
        </is>
      </c>
      <c r="C18" s="9" t="n"/>
      <c r="D18" s="9" t="n"/>
      <c r="E18" s="9">
        <f>C18-D18</f>
        <v/>
      </c>
      <c r="F18" s="9" t="n"/>
    </row>
    <row r="19" ht="18" customHeight="1" s="32">
      <c r="A19" s="84" t="n"/>
      <c r="B19" s="10" t="inlineStr">
        <is>
          <t>Mobilier, Mat. de bureau, Aménagements divers</t>
        </is>
      </c>
      <c r="C19" s="11" t="n"/>
      <c r="D19" s="11" t="n"/>
      <c r="E19" s="11">
        <f>C19-D19</f>
        <v/>
      </c>
      <c r="F19" s="11" t="n"/>
    </row>
    <row r="20" ht="18" customHeight="1" s="32">
      <c r="A20" s="84" t="n"/>
      <c r="B20" s="8" t="inlineStr">
        <is>
          <t>Autres immobilisations corporelles</t>
        </is>
      </c>
      <c r="C20" s="9" t="n"/>
      <c r="D20" s="9" t="n"/>
      <c r="E20" s="9">
        <f>C20-D20</f>
        <v/>
      </c>
      <c r="F20" s="9" t="n"/>
    </row>
    <row r="21" ht="18" customHeight="1" s="32">
      <c r="A21" s="84" t="n"/>
      <c r="B21" s="10" t="inlineStr">
        <is>
          <t>Immobilisations corporelles en cours</t>
        </is>
      </c>
      <c r="C21" s="11" t="n"/>
      <c r="D21" s="11" t="n"/>
      <c r="E21" s="11">
        <f>C21-D21</f>
        <v/>
      </c>
      <c r="F21" s="11" t="n"/>
    </row>
    <row r="22" ht="18" customHeight="1" s="32">
      <c r="A22" s="84" t="n"/>
      <c r="B22" s="6" t="inlineStr">
        <is>
          <t>Immobilisations financières [D]</t>
        </is>
      </c>
      <c r="C22" s="7">
        <f>C23+C24+C25+C26</f>
        <v/>
      </c>
      <c r="D22" s="7">
        <f>D23+D24+D25+D26</f>
        <v/>
      </c>
      <c r="E22" s="7">
        <f>C22-D22</f>
        <v/>
      </c>
      <c r="F22" s="7">
        <f>F23+F24+F25+F26</f>
        <v/>
      </c>
    </row>
    <row r="23" ht="18" customHeight="1" s="32">
      <c r="A23" s="84" t="n"/>
      <c r="B23" s="10" t="inlineStr">
        <is>
          <t>Prêts immobilisés</t>
        </is>
      </c>
      <c r="C23" s="11" t="n"/>
      <c r="D23" s="11" t="n"/>
      <c r="E23" s="11">
        <f>C23-D23</f>
        <v/>
      </c>
      <c r="F23" s="11" t="n"/>
    </row>
    <row r="24" ht="18" customHeight="1" s="32">
      <c r="A24" s="84" t="n"/>
      <c r="B24" s="8" t="inlineStr">
        <is>
          <t>Autres créances financières</t>
        </is>
      </c>
      <c r="C24" s="9" t="n"/>
      <c r="D24" s="9" t="n"/>
      <c r="E24" s="9">
        <f>C24-D24</f>
        <v/>
      </c>
      <c r="F24" s="9" t="n"/>
    </row>
    <row r="25" ht="18" customHeight="1" s="32">
      <c r="A25" s="84" t="n"/>
      <c r="B25" s="10" t="inlineStr">
        <is>
          <t>Titres de participation</t>
        </is>
      </c>
      <c r="C25" s="11" t="n"/>
      <c r="D25" s="11" t="n"/>
      <c r="E25" s="11">
        <f>C25-D25</f>
        <v/>
      </c>
      <c r="F25" s="11" t="n"/>
    </row>
    <row r="26" ht="18" customHeight="1" s="32">
      <c r="A26" s="84" t="n"/>
      <c r="B26" s="8" t="inlineStr">
        <is>
          <t>Autres titres immobilisés</t>
        </is>
      </c>
      <c r="C26" s="9" t="n"/>
      <c r="D26" s="9" t="n"/>
      <c r="E26" s="9">
        <f>C26-D26</f>
        <v/>
      </c>
      <c r="F26" s="9" t="n"/>
    </row>
    <row r="27" ht="18" customHeight="1" s="32">
      <c r="A27" s="84" t="n"/>
      <c r="B27" s="6" t="inlineStr">
        <is>
          <t>Écarts de conversion actif [E]</t>
        </is>
      </c>
      <c r="C27" s="7" t="n">
        <v>0</v>
      </c>
      <c r="D27" s="7" t="n">
        <v>0</v>
      </c>
      <c r="E27" s="7">
        <f>C27-D27</f>
        <v/>
      </c>
      <c r="F27" s="7" t="n">
        <v>0</v>
      </c>
    </row>
    <row r="28" ht="18" customHeight="1" s="32">
      <c r="A28" s="84" t="n"/>
      <c r="B28" s="8" t="inlineStr">
        <is>
          <t>Diminution des créances immobilisées</t>
        </is>
      </c>
      <c r="C28" s="9" t="n">
        <v>0</v>
      </c>
      <c r="D28" s="9" t="n">
        <v>0</v>
      </c>
      <c r="E28" s="9">
        <f>C28-D28</f>
        <v/>
      </c>
      <c r="F28" s="9" t="n">
        <v>0</v>
      </c>
    </row>
    <row r="29" ht="18" customHeight="1" s="32">
      <c r="A29" s="84" t="n"/>
      <c r="B29" s="10" t="inlineStr">
        <is>
          <t>Augmentation des dettes financières</t>
        </is>
      </c>
      <c r="C29" s="11" t="n">
        <v>0</v>
      </c>
      <c r="D29" s="11" t="n">
        <v>0</v>
      </c>
      <c r="E29" s="11">
        <f>C29-D29</f>
        <v/>
      </c>
      <c r="F29" s="11" t="n">
        <v>0</v>
      </c>
    </row>
    <row r="30" ht="18" customHeight="1" s="32">
      <c r="A30" s="85" t="n"/>
      <c r="B30" s="12" t="inlineStr">
        <is>
          <t>TOTAL I (A+B+C+D+E)</t>
        </is>
      </c>
      <c r="C30" s="13">
        <f>C5+C9+C14+C22+C27</f>
        <v/>
      </c>
      <c r="D30" s="13">
        <f>D5+D9+D14+D22+D27</f>
        <v/>
      </c>
      <c r="E30" s="13">
        <f>E5+E9+E14+E22+E27</f>
        <v/>
      </c>
      <c r="F30" s="13">
        <f>F5+F9+F14+F22+F27</f>
        <v/>
      </c>
    </row>
    <row r="31" ht="18" customHeight="1" s="32">
      <c r="A31" s="83" t="inlineStr">
        <is>
          <t xml:space="preserve">  ▶  ACTIF CIRCULANT</t>
        </is>
      </c>
      <c r="B31" s="6" t="inlineStr">
        <is>
          <t>Stocks [F]</t>
        </is>
      </c>
      <c r="C31" s="7">
        <f>C32+C33+C34+C35+C36</f>
        <v/>
      </c>
      <c r="D31" s="7">
        <f>D32+D33+D34+D35+D36</f>
        <v/>
      </c>
      <c r="E31" s="7">
        <f>C31-D31</f>
        <v/>
      </c>
      <c r="F31" s="7">
        <f>F32+F33+F34+F35+F36</f>
        <v/>
      </c>
    </row>
    <row r="32" ht="18" customHeight="1" s="32">
      <c r="A32" s="84" t="n"/>
      <c r="B32" s="10" t="inlineStr">
        <is>
          <t>Marchandises</t>
        </is>
      </c>
      <c r="C32" s="11" t="n"/>
      <c r="D32" s="11" t="n"/>
      <c r="E32" s="11">
        <f>C32-D32</f>
        <v/>
      </c>
      <c r="F32" s="11" t="n"/>
    </row>
    <row r="33" ht="18" customHeight="1" s="32">
      <c r="A33" s="84" t="n"/>
      <c r="B33" s="8" t="inlineStr">
        <is>
          <t>Matières et fournitures consommables</t>
        </is>
      </c>
      <c r="C33" s="9" t="n"/>
      <c r="D33" s="9" t="n"/>
      <c r="E33" s="9">
        <f>C33-D33</f>
        <v/>
      </c>
      <c r="F33" s="9" t="n"/>
    </row>
    <row r="34" ht="18" customHeight="1" s="32">
      <c r="A34" s="84" t="n"/>
      <c r="B34" s="10" t="inlineStr">
        <is>
          <t>Produits en cours</t>
        </is>
      </c>
      <c r="C34" s="11" t="n"/>
      <c r="D34" s="11" t="n"/>
      <c r="E34" s="11">
        <f>C34-D34</f>
        <v/>
      </c>
      <c r="F34" s="11" t="n"/>
    </row>
    <row r="35" ht="18" customHeight="1" s="32">
      <c r="A35" s="84" t="n"/>
      <c r="B35" s="8" t="inlineStr">
        <is>
          <t>Produits intermédiaires et produits résiduels</t>
        </is>
      </c>
      <c r="C35" s="9" t="n"/>
      <c r="D35" s="9" t="n"/>
      <c r="E35" s="9">
        <f>C35-D35</f>
        <v/>
      </c>
      <c r="F35" s="9" t="n"/>
    </row>
    <row r="36" ht="18" customHeight="1" s="32">
      <c r="A36" s="84" t="n"/>
      <c r="B36" s="10" t="inlineStr">
        <is>
          <t>Produits finis</t>
        </is>
      </c>
      <c r="C36" s="11" t="n"/>
      <c r="D36" s="11" t="n"/>
      <c r="E36" s="11">
        <f>C36-D36</f>
        <v/>
      </c>
      <c r="F36" s="11" t="n"/>
    </row>
    <row r="37" ht="18" customHeight="1" s="32">
      <c r="A37" s="84" t="n"/>
      <c r="B37" s="6" t="inlineStr">
        <is>
          <t>Créances de l'actif circulant [G]</t>
        </is>
      </c>
      <c r="C37" s="7">
        <f>C38+C39+C40+C41+C42+C43+C44</f>
        <v/>
      </c>
      <c r="D37" s="7">
        <f>D38+D39+D40+D41+D42+D43+D44</f>
        <v/>
      </c>
      <c r="E37" s="7">
        <f>C37-D37</f>
        <v/>
      </c>
      <c r="F37" s="7">
        <f>F38+F39+F40+F41+F42+F43+F44</f>
        <v/>
      </c>
    </row>
    <row r="38" ht="18" customHeight="1" s="32">
      <c r="A38" s="84" t="n"/>
      <c r="B38" s="10" t="inlineStr">
        <is>
          <t>Fournisseurs débiteurs, avances et acomptes</t>
        </is>
      </c>
      <c r="C38" s="11" t="n"/>
      <c r="D38" s="11" t="n"/>
      <c r="E38" s="11">
        <f>C38-D38</f>
        <v/>
      </c>
      <c r="F38" s="11" t="n"/>
    </row>
    <row r="39" ht="18" customHeight="1" s="32">
      <c r="A39" s="84" t="n"/>
      <c r="B39" s="8" t="inlineStr">
        <is>
          <t>Clients et comptes rattachés</t>
        </is>
      </c>
      <c r="C39" s="9" t="n"/>
      <c r="D39" s="9" t="n"/>
      <c r="E39" s="9">
        <f>C39-D39</f>
        <v/>
      </c>
      <c r="F39" s="9" t="n"/>
    </row>
    <row r="40" ht="18" customHeight="1" s="32">
      <c r="A40" s="84" t="n"/>
      <c r="B40" s="10" t="inlineStr">
        <is>
          <t>Personnel</t>
        </is>
      </c>
      <c r="C40" s="11" t="n"/>
      <c r="D40" s="11" t="n"/>
      <c r="E40" s="11">
        <f>C40-D40</f>
        <v/>
      </c>
      <c r="F40" s="11" t="n"/>
    </row>
    <row r="41" ht="18" customHeight="1" s="32">
      <c r="A41" s="84" t="n"/>
      <c r="B41" s="8" t="inlineStr">
        <is>
          <t>État</t>
        </is>
      </c>
      <c r="C41" s="9" t="n"/>
      <c r="D41" s="9" t="n"/>
      <c r="E41" s="9">
        <f>C41-D41</f>
        <v/>
      </c>
      <c r="F41" s="9" t="n"/>
    </row>
    <row r="42" ht="18" customHeight="1" s="32">
      <c r="A42" s="84" t="n"/>
      <c r="B42" s="10" t="inlineStr">
        <is>
          <t>Comptes d'associés</t>
        </is>
      </c>
      <c r="C42" s="11" t="n"/>
      <c r="D42" s="11" t="n"/>
      <c r="E42" s="11">
        <f>C42-D42</f>
        <v/>
      </c>
      <c r="F42" s="11" t="n"/>
    </row>
    <row r="43" ht="18" customHeight="1" s="32">
      <c r="A43" s="84" t="n"/>
      <c r="B43" s="8" t="inlineStr">
        <is>
          <t>Autres débiteurs</t>
        </is>
      </c>
      <c r="C43" s="9" t="n"/>
      <c r="D43" s="9" t="n"/>
      <c r="E43" s="9">
        <f>C43-D43</f>
        <v/>
      </c>
      <c r="F43" s="9" t="n"/>
    </row>
    <row r="44" ht="18" customHeight="1" s="32">
      <c r="A44" s="84" t="n"/>
      <c r="B44" s="10" t="inlineStr">
        <is>
          <t>Comptes de régularisation - Actif</t>
        </is>
      </c>
      <c r="C44" s="11" t="n"/>
      <c r="D44" s="11" t="n"/>
      <c r="E44" s="11">
        <f>C44-D44</f>
        <v/>
      </c>
      <c r="F44" s="11" t="n"/>
    </row>
    <row r="45" ht="18" customHeight="1" s="32">
      <c r="A45" s="84" t="n"/>
      <c r="B45" s="6" t="inlineStr">
        <is>
          <t>Titres et valeurs de placement [H]</t>
        </is>
      </c>
      <c r="C45" s="7" t="n">
        <v>0</v>
      </c>
      <c r="D45" s="7" t="n">
        <v>0</v>
      </c>
      <c r="E45" s="7">
        <f>C45-D45</f>
        <v/>
      </c>
      <c r="F45" s="7" t="n">
        <v>0</v>
      </c>
    </row>
    <row r="46" ht="18" customHeight="1" s="32">
      <c r="A46" s="84" t="n"/>
      <c r="B46" s="14" t="inlineStr">
        <is>
          <t>Écarts de conversion actif - Éléments circulants [I]</t>
        </is>
      </c>
      <c r="C46" s="11" t="n"/>
      <c r="D46" s="11" t="n"/>
      <c r="E46" s="11">
        <f>C46-D46</f>
        <v/>
      </c>
      <c r="F46" s="11" t="n"/>
    </row>
    <row r="47" ht="18" customHeight="1" s="32">
      <c r="A47" s="85" t="n"/>
      <c r="B47" s="12" t="inlineStr">
        <is>
          <t>TOTAL II (F+G+H+I)</t>
        </is>
      </c>
      <c r="C47" s="13">
        <f>C31+C37+C45+C46</f>
        <v/>
      </c>
      <c r="D47" s="13">
        <f>D31+D37+D45+D46</f>
        <v/>
      </c>
      <c r="E47" s="13">
        <f>E31+E37+E45+E46</f>
        <v/>
      </c>
      <c r="F47" s="13">
        <f>F31+F37+F45+F46</f>
        <v/>
      </c>
    </row>
    <row r="48" ht="18" customHeight="1" s="32">
      <c r="A48" s="33" t="inlineStr">
        <is>
          <t xml:space="preserve">  ▶  TRÉSORERIE - ACTIF</t>
        </is>
      </c>
      <c r="B48" s="8" t="inlineStr">
        <is>
          <t>Chèques et valeurs à encaisser</t>
        </is>
      </c>
      <c r="C48" s="9" t="n"/>
      <c r="D48" s="9" t="n"/>
      <c r="E48" s="9">
        <f>C48-D48</f>
        <v/>
      </c>
      <c r="F48" s="9" t="n"/>
    </row>
    <row r="49" ht="18" customHeight="1" s="32">
      <c r="A49" s="84" t="n"/>
      <c r="B49" s="10" t="inlineStr">
        <is>
          <t>Banques, T.G et C.C.P</t>
        </is>
      </c>
      <c r="C49" s="11" t="n"/>
      <c r="D49" s="11" t="n"/>
      <c r="E49" s="11">
        <f>C49-D49</f>
        <v/>
      </c>
      <c r="F49" s="11" t="n"/>
    </row>
    <row r="50" ht="18" customHeight="1" s="32">
      <c r="A50" s="84" t="n"/>
      <c r="B50" s="8" t="inlineStr">
        <is>
          <t>Caisse, Régie d'avances et accréditifs</t>
        </is>
      </c>
      <c r="C50" s="9" t="n"/>
      <c r="D50" s="9" t="n"/>
      <c r="E50" s="9">
        <f>C50-D50</f>
        <v/>
      </c>
      <c r="F50" s="9" t="n"/>
    </row>
    <row r="51" ht="18" customHeight="1" s="32">
      <c r="A51" s="84" t="n"/>
      <c r="B51" s="12" t="inlineStr">
        <is>
          <t>TOTAL III</t>
        </is>
      </c>
      <c r="C51" s="13">
        <f>C48+C49+C50</f>
        <v/>
      </c>
      <c r="D51" s="13">
        <f>D48+D49+D50</f>
        <v/>
      </c>
      <c r="E51" s="13">
        <f>E48+E49+E50</f>
        <v/>
      </c>
      <c r="F51" s="13">
        <f>F48+F49+F50</f>
        <v/>
      </c>
    </row>
    <row r="52" ht="18" customHeight="1" s="32">
      <c r="A52" s="42" t="n"/>
      <c r="B52" s="38" t="inlineStr">
        <is>
          <t>TOTAL GÉNÉRAL (I+II+III)</t>
        </is>
      </c>
      <c r="C52" s="39">
        <f>C30+C47+C51</f>
        <v/>
      </c>
      <c r="D52" s="39">
        <f>D30+D47+D51</f>
        <v/>
      </c>
      <c r="E52" s="39">
        <f>E30+E47+E51</f>
        <v/>
      </c>
      <c r="F52" s="39">
        <f>F30+F47+F51</f>
        <v/>
      </c>
    </row>
    <row r="53" ht="18" customHeight="1" s="32"/>
    <row r="54" ht="18" customHeight="1" s="32"/>
    <row r="55" ht="18" customHeight="1" s="32"/>
  </sheetData>
  <mergeCells count="7">
    <mergeCell ref="D2:F2"/>
    <mergeCell ref="A48:A51"/>
    <mergeCell ref="A31:A47"/>
    <mergeCell ref="A5:A30"/>
    <mergeCell ref="C3:E3"/>
    <mergeCell ref="B1:B2"/>
    <mergeCell ref="D1:F1"/>
  </mergeCells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zoomScale="85" zoomScaleNormal="85" workbookViewId="0">
      <pane ySplit="3" topLeftCell="A4" activePane="bottomLeft" state="frozen"/>
      <selection pane="bottomLeft" activeCell="A1" sqref="A1:D2"/>
    </sheetView>
  </sheetViews>
  <sheetFormatPr baseColWidth="10" defaultColWidth="8.88671875" defaultRowHeight="14.4"/>
  <cols>
    <col width="30.33203125" customWidth="1" style="32" min="1" max="1"/>
    <col width="45.88671875" customWidth="1" style="32" min="2" max="2"/>
    <col width="15.77734375" customWidth="1" style="32" min="3" max="3"/>
    <col width="10" bestFit="1" customWidth="1" style="32" min="4" max="4"/>
  </cols>
  <sheetData>
    <row r="1" ht="16.8" customHeight="1" s="32">
      <c r="A1" s="50" t="inlineStr">
        <is>
          <t>Tableau N°02</t>
        </is>
      </c>
      <c r="B1" s="54" t="inlineStr">
        <is>
          <t>BILAN (PASSIF)</t>
        </is>
      </c>
      <c r="C1" s="51" t="inlineStr">
        <is>
          <t>Identifiant fiscal:</t>
        </is>
      </c>
      <c r="D1" s="51">
        <f>'1 - Infos Générales'!B6</f>
        <v/>
      </c>
      <c r="E1" s="49" t="n"/>
      <c r="F1" s="43" t="n"/>
    </row>
    <row r="2" ht="16.8" customHeight="1" s="32">
      <c r="A2" s="53">
        <f>'1 - Infos Générales'!B4</f>
        <v/>
      </c>
      <c r="B2" s="86" t="n"/>
      <c r="C2" s="52" t="inlineStr">
        <is>
          <t xml:space="preserve">Exercice </t>
        </is>
      </c>
      <c r="D2" s="51">
        <f>'1 - Infos Générales'!B8</f>
        <v/>
      </c>
      <c r="E2" s="43" t="n"/>
      <c r="F2" s="43" t="n"/>
    </row>
    <row r="3" ht="28.05" customHeight="1" s="32">
      <c r="B3" s="1" t="inlineStr">
        <is>
          <t>PASSIF</t>
        </is>
      </c>
      <c r="C3" s="1" t="inlineStr">
        <is>
          <t>EXERCICE N</t>
        </is>
      </c>
      <c r="D3" s="1" t="inlineStr">
        <is>
          <t>EXERCICE N-1</t>
        </is>
      </c>
    </row>
    <row r="4" ht="18" customHeight="1" s="32">
      <c r="A4" s="83" t="inlineStr">
        <is>
          <t xml:space="preserve">  ▶  FINANCEMENT PERMANENT</t>
        </is>
      </c>
      <c r="B4" s="36" t="inlineStr">
        <is>
          <t xml:space="preserve">  ▶  CAPITAUX PROPRES</t>
        </is>
      </c>
      <c r="C4" s="48">
        <f>C16</f>
        <v/>
      </c>
      <c r="D4" s="48">
        <f>D16</f>
        <v/>
      </c>
    </row>
    <row r="5" ht="18" customHeight="1" s="32">
      <c r="A5" s="84" t="n"/>
      <c r="B5" s="15" t="inlineStr">
        <is>
          <t>Capital social ou personnel</t>
        </is>
      </c>
      <c r="C5" s="9">
        <f>C7</f>
        <v/>
      </c>
      <c r="D5" s="9">
        <f>D7</f>
        <v/>
      </c>
    </row>
    <row r="6" ht="19.8" customHeight="1" s="32">
      <c r="A6" s="84" t="n"/>
      <c r="B6" s="24" t="inlineStr">
        <is>
          <t>Moins:actionnaires, capital souscrit non appelé</t>
        </is>
      </c>
      <c r="C6" s="9" t="n"/>
      <c r="D6" s="9" t="n"/>
    </row>
    <row r="7" ht="19.8" customHeight="1" s="32">
      <c r="A7" s="84" t="n"/>
      <c r="B7" s="24" t="inlineStr">
        <is>
          <t>capital appelé</t>
        </is>
      </c>
      <c r="C7" s="9" t="n"/>
      <c r="D7" s="9" t="n"/>
    </row>
    <row r="8" ht="19.8" customHeight="1" s="32">
      <c r="A8" s="84" t="n"/>
      <c r="B8" s="24" t="inlineStr">
        <is>
          <t xml:space="preserve">dont versé </t>
        </is>
      </c>
      <c r="C8" s="9" t="n"/>
      <c r="D8" s="9" t="n"/>
    </row>
    <row r="9" ht="19.8" customHeight="1" s="32">
      <c r="A9" s="84" t="n"/>
      <c r="B9" s="14" t="inlineStr">
        <is>
          <t>Prime d'émission, de fusion, d'apport</t>
        </is>
      </c>
      <c r="C9" s="11" t="n"/>
      <c r="D9" s="11" t="n"/>
    </row>
    <row r="10" ht="18" customHeight="1" s="32">
      <c r="A10" s="84" t="n"/>
      <c r="B10" s="15" t="inlineStr">
        <is>
          <t>Écarts de réévaluation</t>
        </is>
      </c>
      <c r="C10" s="9" t="n"/>
      <c r="D10" s="9" t="n"/>
    </row>
    <row r="11" ht="18" customHeight="1" s="32">
      <c r="A11" s="84" t="n"/>
      <c r="B11" s="14" t="inlineStr">
        <is>
          <t>Réserve légale</t>
        </is>
      </c>
      <c r="C11" s="11" t="n"/>
      <c r="D11" s="11" t="n"/>
    </row>
    <row r="12" ht="18" customHeight="1" s="32">
      <c r="A12" s="84" t="n"/>
      <c r="B12" s="15" t="inlineStr">
        <is>
          <t>Autres réserves</t>
        </is>
      </c>
      <c r="C12" s="9" t="n"/>
      <c r="D12" s="9" t="n"/>
    </row>
    <row r="13" ht="18" customHeight="1" s="32">
      <c r="A13" s="84" t="n"/>
      <c r="B13" s="14" t="inlineStr">
        <is>
          <t>Report à nouveau</t>
        </is>
      </c>
      <c r="C13" s="87" t="n"/>
      <c r="D13" s="87" t="n"/>
    </row>
    <row r="14" ht="18" customHeight="1" s="32">
      <c r="A14" s="84" t="n"/>
      <c r="B14" s="15" t="inlineStr">
        <is>
          <t>Résultat en instance d'affectation</t>
        </is>
      </c>
      <c r="C14" s="88" t="n"/>
      <c r="D14" s="88" t="n"/>
    </row>
    <row r="15" ht="18" customHeight="1" s="32">
      <c r="A15" s="84" t="n"/>
      <c r="B15" s="14" t="inlineStr">
        <is>
          <t>Résultat net de l'exercice</t>
        </is>
      </c>
      <c r="C15" s="11" t="n"/>
      <c r="D15" s="87" t="n"/>
    </row>
    <row r="16" ht="18" customHeight="1" s="32">
      <c r="A16" s="84" t="n"/>
      <c r="B16" s="12" t="inlineStr">
        <is>
          <t>Total des capitaux propres (A)</t>
        </is>
      </c>
      <c r="C16" s="13">
        <f>C15+C13+C12+C11+C10+C9+C5</f>
        <v/>
      </c>
      <c r="D16" s="13">
        <f>D15+D13+D12+D11+D10+D9+D5</f>
        <v/>
      </c>
    </row>
    <row r="17" ht="18" customHeight="1" s="32">
      <c r="A17" s="84" t="n"/>
      <c r="B17" s="35" t="inlineStr">
        <is>
          <t xml:space="preserve">  ▶  Capitaux propres assimilés (B)</t>
        </is>
      </c>
      <c r="C17" s="48">
        <f>C18+C19</f>
        <v/>
      </c>
      <c r="D17" s="48">
        <f>D18+D19</f>
        <v/>
      </c>
    </row>
    <row r="18" ht="18" customHeight="1" s="32">
      <c r="A18" s="84" t="n"/>
      <c r="B18" s="8" t="inlineStr">
        <is>
          <t>Subventions d'investissement</t>
        </is>
      </c>
      <c r="C18" s="9" t="n"/>
      <c r="D18" s="9" t="n"/>
    </row>
    <row r="19" ht="18" customHeight="1" s="32">
      <c r="A19" s="84" t="n"/>
      <c r="B19" s="10" t="inlineStr">
        <is>
          <t>Provisions réglementées</t>
        </is>
      </c>
      <c r="C19" s="11" t="n"/>
      <c r="D19" s="11" t="n"/>
    </row>
    <row r="20" ht="18" customHeight="1" s="32">
      <c r="A20" s="84" t="n"/>
      <c r="B20" s="6" t="inlineStr">
        <is>
          <t>Dettes de financement (C)</t>
        </is>
      </c>
      <c r="C20" s="7" t="n"/>
      <c r="D20" s="7" t="n"/>
    </row>
    <row r="21" ht="18" customHeight="1" s="32">
      <c r="A21" s="84" t="n"/>
      <c r="B21" s="10" t="inlineStr">
        <is>
          <t>Emprunts obligataires</t>
        </is>
      </c>
      <c r="C21" s="11" t="n"/>
      <c r="D21" s="11" t="n"/>
    </row>
    <row r="22" ht="18" customHeight="1" s="32">
      <c r="A22" s="84" t="n"/>
      <c r="B22" s="8" t="inlineStr">
        <is>
          <t>Autres dettes de financement</t>
        </is>
      </c>
      <c r="C22" s="9" t="n"/>
      <c r="D22" s="9" t="n"/>
    </row>
    <row r="23" ht="18" customHeight="1" s="32">
      <c r="A23" s="84" t="n"/>
      <c r="B23" s="6" t="inlineStr">
        <is>
          <t>Provisions durables pour risques et charges (D)</t>
        </is>
      </c>
      <c r="C23" s="7" t="n"/>
      <c r="D23" s="7" t="n"/>
    </row>
    <row r="24" ht="18" customHeight="1" s="32">
      <c r="A24" s="84" t="n"/>
      <c r="B24" s="8" t="inlineStr">
        <is>
          <t>Provisions pour risques</t>
        </is>
      </c>
      <c r="C24" s="9" t="n"/>
      <c r="D24" s="9" t="n"/>
    </row>
    <row r="25" ht="18" customHeight="1" s="32">
      <c r="A25" s="84" t="n"/>
      <c r="B25" s="10" t="inlineStr">
        <is>
          <t>Provisions pour charges</t>
        </is>
      </c>
      <c r="C25" s="11" t="n"/>
      <c r="D25" s="11" t="n"/>
    </row>
    <row r="26" ht="18" customHeight="1" s="32">
      <c r="A26" s="84" t="n"/>
      <c r="B26" s="15" t="inlineStr">
        <is>
          <t>Écarts de conversion - passif (E)</t>
        </is>
      </c>
      <c r="C26" s="9" t="n"/>
      <c r="D26" s="9" t="n"/>
    </row>
    <row r="27" ht="18" customHeight="1" s="32">
      <c r="A27" s="84" t="n"/>
      <c r="B27" s="10" t="inlineStr">
        <is>
          <t>Augmentation des créances immobilisées</t>
        </is>
      </c>
      <c r="C27" s="11" t="n"/>
      <c r="D27" s="11" t="n"/>
    </row>
    <row r="28" ht="18" customHeight="1" s="32">
      <c r="A28" s="84" t="n"/>
      <c r="B28" s="8" t="inlineStr">
        <is>
          <t>Diminution des dettes de financement</t>
        </is>
      </c>
      <c r="C28" s="9" t="n"/>
      <c r="D28" s="9" t="n"/>
    </row>
    <row r="29" ht="18" customHeight="1" s="32">
      <c r="A29" s="85" t="n"/>
      <c r="B29" s="12" t="inlineStr">
        <is>
          <t>TOTAL I (A+B+C+D+E) PASSIF</t>
        </is>
      </c>
      <c r="C29" s="13">
        <f>C16+C17+C20+C23+C26</f>
        <v/>
      </c>
      <c r="D29" s="13">
        <f>D16+D17+D20+D23+D26</f>
        <v/>
      </c>
    </row>
    <row r="30" ht="18" customHeight="1" s="32">
      <c r="A30" s="33" t="inlineStr">
        <is>
          <t xml:space="preserve">  ▶  PASSIF CIRCULANT</t>
        </is>
      </c>
      <c r="B30" s="35" t="inlineStr">
        <is>
          <t xml:space="preserve">  ▶  Dettes du passif circulant (F)</t>
        </is>
      </c>
      <c r="C30" s="48">
        <f>C41</f>
        <v/>
      </c>
      <c r="D30" s="48">
        <f>D41</f>
        <v/>
      </c>
    </row>
    <row r="31" ht="18" customHeight="1" s="32">
      <c r="A31" s="84" t="n"/>
      <c r="B31" s="8" t="inlineStr">
        <is>
          <t>Fournisseurs et comptes rattachés</t>
        </is>
      </c>
      <c r="C31" s="9" t="n"/>
      <c r="D31" s="9" t="n"/>
    </row>
    <row r="32" ht="18" customHeight="1" s="32">
      <c r="A32" s="84" t="n"/>
      <c r="B32" s="10" t="inlineStr">
        <is>
          <t>Clients créditeurs, avances et acomptes</t>
        </is>
      </c>
      <c r="C32" s="11" t="n"/>
      <c r="D32" s="11" t="n"/>
    </row>
    <row r="33" ht="18" customHeight="1" s="32">
      <c r="A33" s="84" t="n"/>
      <c r="B33" s="8" t="inlineStr">
        <is>
          <t>Personnel</t>
        </is>
      </c>
      <c r="C33" s="9" t="n"/>
      <c r="D33" s="9" t="n"/>
    </row>
    <row r="34" ht="18" customHeight="1" s="32">
      <c r="A34" s="84" t="n"/>
      <c r="B34" s="10" t="inlineStr">
        <is>
          <t>Organismes sociaux</t>
        </is>
      </c>
      <c r="C34" s="11" t="n"/>
      <c r="D34" s="11" t="n"/>
    </row>
    <row r="35" ht="18" customHeight="1" s="32">
      <c r="A35" s="84" t="n"/>
      <c r="B35" s="8" t="inlineStr">
        <is>
          <t>État</t>
        </is>
      </c>
      <c r="C35" s="9" t="n"/>
      <c r="D35" s="9" t="n"/>
    </row>
    <row r="36" ht="18" customHeight="1" s="32">
      <c r="A36" s="84" t="n"/>
      <c r="B36" s="10" t="inlineStr">
        <is>
          <t>Comptes d'associés</t>
        </is>
      </c>
      <c r="C36" s="11" t="n"/>
      <c r="D36" s="11" t="n"/>
    </row>
    <row r="37" ht="18" customHeight="1" s="32">
      <c r="A37" s="84" t="n"/>
      <c r="B37" s="8" t="inlineStr">
        <is>
          <t>Autres créanciers</t>
        </is>
      </c>
      <c r="C37" s="9" t="n"/>
      <c r="D37" s="9" t="n"/>
    </row>
    <row r="38" ht="18" customHeight="1" s="32">
      <c r="A38" s="84" t="n"/>
      <c r="B38" s="10" t="inlineStr">
        <is>
          <t>Comptes de régularisation passif</t>
        </is>
      </c>
      <c r="C38" s="11" t="n"/>
      <c r="D38" s="11" t="n"/>
    </row>
    <row r="39" ht="18" customHeight="1" s="32">
      <c r="A39" s="84" t="n"/>
      <c r="B39" s="6" t="inlineStr">
        <is>
          <t>Autres provisions pour risques et charges (G)</t>
        </is>
      </c>
      <c r="C39" s="7" t="n"/>
      <c r="D39" s="7" t="n"/>
    </row>
    <row r="40" ht="18" customHeight="1" s="32">
      <c r="A40" s="84" t="n"/>
      <c r="B40" s="14" t="inlineStr">
        <is>
          <t>Écarts de conversion - passif éléments circulants (H)</t>
        </is>
      </c>
      <c r="C40" s="11" t="n"/>
      <c r="D40" s="11" t="n"/>
    </row>
    <row r="41" ht="18" customHeight="1" s="32">
      <c r="A41" s="84" t="n"/>
      <c r="B41" s="12" t="inlineStr">
        <is>
          <t>TOTAL II (F+G+H)</t>
        </is>
      </c>
      <c r="C41" s="13">
        <f>C31+C32+C33+C34+C35+C36+C37+C38+C39+C40</f>
        <v/>
      </c>
      <c r="D41" s="13">
        <f>D31+D32+D33+D34+D35+D36+D37+D38+D39+D40</f>
        <v/>
      </c>
    </row>
    <row r="42" ht="18" customHeight="1" s="32">
      <c r="A42" s="33" t="inlineStr">
        <is>
          <t xml:space="preserve">  ▶  TRÉSORERIE PASSIF</t>
        </is>
      </c>
      <c r="B42" s="8" t="inlineStr">
        <is>
          <t>Crédits d'escompte</t>
        </is>
      </c>
      <c r="C42" s="9" t="n"/>
      <c r="D42" s="9" t="n"/>
    </row>
    <row r="43" ht="18" customHeight="1" s="32">
      <c r="A43" s="84" t="n"/>
      <c r="B43" s="10" t="inlineStr">
        <is>
          <t>Crédits de trésorerie</t>
        </is>
      </c>
      <c r="C43" s="11" t="n"/>
      <c r="D43" s="11" t="n"/>
    </row>
    <row r="44" ht="18" customHeight="1" s="32">
      <c r="A44" s="84" t="n"/>
      <c r="B44" s="8" t="inlineStr">
        <is>
          <t>Banques (soldes créditeurs)</t>
        </is>
      </c>
      <c r="C44" s="9" t="n"/>
      <c r="D44" s="9" t="n"/>
    </row>
    <row r="45" ht="18" customHeight="1" s="32">
      <c r="A45" s="84" t="n"/>
      <c r="B45" s="12" t="inlineStr">
        <is>
          <t>TOTAL III PASSIF</t>
        </is>
      </c>
      <c r="C45" s="13">
        <f>C42+C43+C44</f>
        <v/>
      </c>
      <c r="D45" s="13">
        <f>D42+D43+D44</f>
        <v/>
      </c>
    </row>
    <row r="46" ht="18" customHeight="1" s="32">
      <c r="A46" s="84" t="n"/>
      <c r="B46" s="12" t="inlineStr">
        <is>
          <t>TOTAL GÉNÉRAL PASSIF (I+II+III)</t>
        </is>
      </c>
      <c r="C46" s="13">
        <f>C29+C41+C45</f>
        <v/>
      </c>
      <c r="D46" s="13">
        <f>D29+D41+D45</f>
        <v/>
      </c>
    </row>
    <row r="47" ht="18" customHeight="1" s="32"/>
    <row r="48" ht="18" customHeight="1" s="32"/>
    <row r="49" ht="18" customHeight="1" s="32"/>
  </sheetData>
  <mergeCells count="4">
    <mergeCell ref="A4:A29"/>
    <mergeCell ref="A42:A46"/>
    <mergeCell ref="B1:B2"/>
    <mergeCell ref="A30:A4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8"/>
  <sheetViews>
    <sheetView showGridLines="0" tabSelected="1" zoomScale="70" zoomScaleNormal="70" workbookViewId="0">
      <pane ySplit="4" topLeftCell="A26" activePane="bottomLeft" state="frozen"/>
      <selection pane="bottomLeft" activeCell="K28" sqref="K28"/>
    </sheetView>
  </sheetViews>
  <sheetFormatPr baseColWidth="10" defaultColWidth="8.88671875" defaultRowHeight="14.4"/>
  <cols>
    <col width="37.77734375" bestFit="1" customWidth="1" style="32" min="1" max="1"/>
    <col width="44.44140625" bestFit="1" customWidth="1" style="32" min="2" max="2"/>
    <col width="24.21875" bestFit="1" customWidth="1" style="32" min="3" max="3"/>
    <col width="21.109375" bestFit="1" customWidth="1" style="32" min="4" max="4"/>
    <col width="8.88671875" bestFit="1" customWidth="1" style="32" min="5" max="5"/>
    <col width="10.5546875" bestFit="1" customWidth="1" style="32" min="6" max="6"/>
  </cols>
  <sheetData>
    <row r="1" ht="30" customHeight="1" s="32">
      <c r="B1" s="50" t="inlineStr">
        <is>
          <t>Tableau N°02</t>
        </is>
      </c>
      <c r="C1" s="54" t="inlineStr">
        <is>
          <t>CPC (Hors taxes)</t>
        </is>
      </c>
      <c r="D1" s="51" t="inlineStr">
        <is>
          <t>Identifiant fiscal:</t>
        </is>
      </c>
      <c r="E1" s="74">
        <f>'1 - Infos Générales'!B6</f>
        <v/>
      </c>
    </row>
    <row r="2" ht="22.05" customHeight="1" s="32">
      <c r="B2" s="53">
        <f>'1 - Infos Générales'!B4</f>
        <v/>
      </c>
      <c r="C2" s="86" t="n"/>
      <c r="D2" s="52" t="inlineStr">
        <is>
          <t xml:space="preserve">Exercice </t>
        </is>
      </c>
      <c r="E2" s="74">
        <f>'1 - Infos Générales'!B8</f>
        <v/>
      </c>
    </row>
    <row r="3" ht="22.05" customHeight="1" s="32">
      <c r="B3" s="89" t="inlineStr">
        <is>
          <t>DÉSIGNATION</t>
        </is>
      </c>
      <c r="C3" s="70" t="inlineStr">
        <is>
          <t>OPERATIONS</t>
        </is>
      </c>
      <c r="D3" s="90" t="n"/>
      <c r="E3" s="89" t="inlineStr">
        <is>
          <t>TOTAL N</t>
        </is>
      </c>
      <c r="F3" s="68" t="inlineStr">
        <is>
          <t>TOTAL N-1</t>
        </is>
      </c>
    </row>
    <row r="4" ht="36" customHeight="1" s="32">
      <c r="B4" s="82" t="n"/>
      <c r="C4" s="1" t="inlineStr">
        <is>
          <t>Propres à l'exercice N</t>
        </is>
      </c>
      <c r="D4" s="1" t="inlineStr">
        <is>
          <t>Exercices précédents</t>
        </is>
      </c>
      <c r="E4" s="82" t="n"/>
      <c r="F4" s="82" t="n"/>
    </row>
    <row r="5" ht="18" customHeight="1" s="32">
      <c r="A5" s="73" t="inlineStr">
        <is>
          <t>EXPLOITATION FINANCIER NON COURANT</t>
        </is>
      </c>
      <c r="B5" s="71" t="inlineStr">
        <is>
          <t xml:space="preserve">  ▶  PRODUITS D'EXPLOITATION</t>
        </is>
      </c>
      <c r="C5" s="91" t="n"/>
      <c r="D5" s="91" t="n"/>
      <c r="E5" s="91" t="n"/>
      <c r="F5" s="91" t="n"/>
    </row>
    <row r="6" ht="18" customHeight="1" s="32">
      <c r="A6" s="84" t="n"/>
      <c r="B6" s="66" t="inlineStr">
        <is>
          <t>Ventes de marchandises (en l'état)</t>
        </is>
      </c>
      <c r="C6" s="11" t="n"/>
      <c r="D6" s="11" t="n"/>
      <c r="E6" s="11">
        <f>C6+D6</f>
        <v/>
      </c>
      <c r="F6" s="11" t="n"/>
    </row>
    <row r="7" ht="18" customHeight="1" s="32">
      <c r="A7" s="84" t="n"/>
      <c r="B7" s="15" t="inlineStr">
        <is>
          <t>Ventes de biens et services produits</t>
        </is>
      </c>
      <c r="C7" s="9" t="n"/>
      <c r="D7" s="9" t="n"/>
      <c r="E7" s="9">
        <f>C7+D7</f>
        <v/>
      </c>
      <c r="F7" s="9" t="n"/>
    </row>
    <row r="8" ht="18" customHeight="1" s="32">
      <c r="A8" s="84" t="n"/>
      <c r="B8" s="10" t="inlineStr">
        <is>
          <t>Chiffre d'affaires</t>
        </is>
      </c>
      <c r="C8" s="11">
        <f>C7+C6</f>
        <v/>
      </c>
      <c r="D8" s="11">
        <f>D7+D6</f>
        <v/>
      </c>
      <c r="E8" s="11">
        <f>E7+E6</f>
        <v/>
      </c>
      <c r="F8" s="11">
        <f>F7+F6</f>
        <v/>
      </c>
    </row>
    <row r="9" ht="18" customHeight="1" s="32">
      <c r="A9" s="84" t="n"/>
      <c r="B9" s="8" t="inlineStr">
        <is>
          <t>Variation de stocks de produits</t>
        </is>
      </c>
      <c r="C9" s="9" t="n"/>
      <c r="D9" s="9" t="n"/>
      <c r="E9" s="9">
        <f>C9+D9</f>
        <v/>
      </c>
      <c r="F9" s="9" t="n"/>
    </row>
    <row r="10" ht="18" customHeight="1" s="32">
      <c r="A10" s="84" t="n"/>
      <c r="B10" s="10" t="inlineStr">
        <is>
          <t>Immobilisations produites par l'entreprise</t>
        </is>
      </c>
      <c r="C10" s="11" t="n"/>
      <c r="D10" s="11" t="n"/>
      <c r="E10" s="11">
        <f>C10+D10</f>
        <v/>
      </c>
      <c r="F10" s="11" t="n"/>
    </row>
    <row r="11" ht="18" customHeight="1" s="32">
      <c r="A11" s="84" t="n"/>
      <c r="B11" s="15" t="inlineStr">
        <is>
          <t>Subventions d'exploitation</t>
        </is>
      </c>
      <c r="C11" s="9" t="n"/>
      <c r="D11" s="9" t="n"/>
      <c r="E11" s="9">
        <f>C11+D11</f>
        <v/>
      </c>
      <c r="F11" s="9" t="n"/>
    </row>
    <row r="12" ht="18" customHeight="1" s="32">
      <c r="A12" s="84" t="n"/>
      <c r="B12" s="14" t="inlineStr">
        <is>
          <t>Autres produits d'exploitation</t>
        </is>
      </c>
      <c r="C12" s="11" t="n"/>
      <c r="D12" s="11" t="n"/>
      <c r="E12" s="11">
        <f>C12+D12</f>
        <v/>
      </c>
      <c r="F12" s="11" t="n"/>
    </row>
    <row r="13" ht="18" customHeight="1" s="32">
      <c r="A13" s="84" t="n"/>
      <c r="B13" s="15" t="inlineStr">
        <is>
          <t>Reprises d'exploitation : transferts de charges</t>
        </is>
      </c>
      <c r="C13" s="9" t="n"/>
      <c r="D13" s="9" t="n"/>
      <c r="E13" s="9">
        <f>C13+D13</f>
        <v/>
      </c>
      <c r="F13" s="9" t="n"/>
    </row>
    <row r="14" ht="18" customHeight="1" s="32">
      <c r="A14" s="84" t="n"/>
      <c r="B14" s="12" t="inlineStr">
        <is>
          <t>TOTAL I - PRODUITS D'EXPLOITATION</t>
        </is>
      </c>
      <c r="C14" s="13">
        <f>C13+C12+C11+C10+C9+C8</f>
        <v/>
      </c>
      <c r="D14" s="13">
        <f>D13+D12+D11+D10+D9+D8</f>
        <v/>
      </c>
      <c r="E14" s="13">
        <f>E13+E12+E11+E10+E9+E8</f>
        <v/>
      </c>
      <c r="F14" s="13">
        <f>F13+F12+F11+F10+F9+F8</f>
        <v/>
      </c>
    </row>
    <row r="15" ht="18" customHeight="1" s="32">
      <c r="A15" s="84" t="n"/>
      <c r="B15" s="71" t="inlineStr">
        <is>
          <t xml:space="preserve">  ▶  CHARGES D'EXPLOITATION</t>
        </is>
      </c>
      <c r="C15" s="91" t="n"/>
      <c r="D15" s="91" t="n"/>
      <c r="E15" s="91" t="n"/>
      <c r="F15" s="91" t="n"/>
    </row>
    <row r="16" ht="18" customHeight="1" s="32">
      <c r="A16" s="84" t="n"/>
      <c r="B16" s="14" t="inlineStr">
        <is>
          <t>Achats revendus de marchandises</t>
        </is>
      </c>
      <c r="C16" s="11" t="n"/>
      <c r="D16" s="11" t="n"/>
      <c r="E16" s="11">
        <f>C16+D16</f>
        <v/>
      </c>
      <c r="F16" s="11" t="n"/>
    </row>
    <row r="17" ht="18" customHeight="1" s="32">
      <c r="A17" s="84" t="n"/>
      <c r="B17" s="15" t="inlineStr">
        <is>
          <t>Achats consommés de matières et fournitures</t>
        </is>
      </c>
      <c r="C17" s="11" t="n"/>
      <c r="D17" s="11" t="n"/>
      <c r="E17" s="9">
        <f>C17+D17</f>
        <v/>
      </c>
      <c r="F17" s="11" t="n"/>
    </row>
    <row r="18" ht="18" customHeight="1" s="32">
      <c r="A18" s="84" t="n"/>
      <c r="B18" s="14" t="inlineStr">
        <is>
          <t>Autres charges externes</t>
        </is>
      </c>
      <c r="C18" s="11" t="n"/>
      <c r="D18" s="11" t="n"/>
      <c r="E18" s="11">
        <f>C18+D18</f>
        <v/>
      </c>
      <c r="F18" s="11" t="n"/>
    </row>
    <row r="19" ht="18" customHeight="1" s="32">
      <c r="A19" s="84" t="n"/>
      <c r="B19" s="15" t="inlineStr">
        <is>
          <t>Impôts et taxes</t>
        </is>
      </c>
      <c r="C19" s="9" t="n"/>
      <c r="D19" s="9" t="n"/>
      <c r="E19" s="9">
        <f>C19+D19</f>
        <v/>
      </c>
      <c r="F19" s="9" t="n"/>
    </row>
    <row r="20" ht="18" customHeight="1" s="32">
      <c r="A20" s="84" t="n"/>
      <c r="B20" s="14" t="inlineStr">
        <is>
          <t>Charges de personnel</t>
        </is>
      </c>
      <c r="C20" s="11" t="n"/>
      <c r="D20" s="11" t="n"/>
      <c r="E20" s="11">
        <f>C20+D20</f>
        <v/>
      </c>
      <c r="F20" s="11" t="n"/>
    </row>
    <row r="21" ht="18" customHeight="1" s="32">
      <c r="A21" s="84" t="n"/>
      <c r="B21" s="15" t="inlineStr">
        <is>
          <t>Autres charges d'exploitation</t>
        </is>
      </c>
      <c r="C21" s="9" t="n"/>
      <c r="D21" s="9" t="n"/>
      <c r="E21" s="9">
        <f>C21+D21</f>
        <v/>
      </c>
      <c r="F21" s="9" t="n"/>
    </row>
    <row r="22" ht="18" customHeight="1" s="32">
      <c r="A22" s="84" t="n"/>
      <c r="B22" s="14" t="inlineStr">
        <is>
          <t>Dotations d'exploitation</t>
        </is>
      </c>
      <c r="C22" s="11" t="n"/>
      <c r="D22" s="11" t="n"/>
      <c r="E22" s="11">
        <f>C22+D22</f>
        <v/>
      </c>
      <c r="F22" s="11" t="n"/>
    </row>
    <row r="23" ht="18" customHeight="1" s="32">
      <c r="A23" s="84" t="n"/>
      <c r="B23" s="12" t="inlineStr">
        <is>
          <t>TOTAL II - CHARGES D'EXPLOITATION</t>
        </is>
      </c>
      <c r="C23" s="13">
        <f>C16+C17+C18+C19+C20+C21+C22</f>
        <v/>
      </c>
      <c r="D23" s="13">
        <f>D16+D17+D18+D19+D20+D21+D22</f>
        <v/>
      </c>
      <c r="E23" s="13">
        <f>E16+E17+E18+E19+E20+E21+E22</f>
        <v/>
      </c>
      <c r="F23" s="13">
        <f>F16+F17+F18+F19+F20+F21+F22</f>
        <v/>
      </c>
    </row>
    <row r="24" ht="18" customHeight="1" s="32">
      <c r="A24" s="84" t="n"/>
      <c r="B24" s="12" t="inlineStr">
        <is>
          <t>RÉSULTAT D'EXPLOITATION (I-II)</t>
        </is>
      </c>
      <c r="C24" s="92">
        <f>C14-C23</f>
        <v/>
      </c>
      <c r="D24" s="92">
        <f>D14-D23</f>
        <v/>
      </c>
      <c r="E24" s="92">
        <f>E14-E23</f>
        <v/>
      </c>
      <c r="F24" s="92">
        <f>F14-F23</f>
        <v/>
      </c>
    </row>
    <row r="25" ht="18" customHeight="1" s="32">
      <c r="A25" s="84" t="n"/>
      <c r="B25" s="30" t="inlineStr">
        <is>
          <t xml:space="preserve">  ▶  PRODUITS FINANCIERS</t>
        </is>
      </c>
      <c r="C25" s="91" t="n"/>
      <c r="D25" s="91" t="n"/>
      <c r="E25" s="91" t="n"/>
      <c r="F25" s="76" t="n"/>
    </row>
    <row r="26" ht="18" customHeight="1" s="32">
      <c r="A26" s="84" t="n"/>
      <c r="B26" s="14" t="inlineStr">
        <is>
          <t>Produits des titres de participation</t>
        </is>
      </c>
      <c r="C26" s="11" t="n"/>
      <c r="D26" s="11" t="n"/>
      <c r="E26" s="11">
        <f>C26+D26</f>
        <v/>
      </c>
      <c r="F26" s="11" t="n"/>
    </row>
    <row r="27" ht="18" customHeight="1" s="32">
      <c r="A27" s="84" t="n"/>
      <c r="B27" s="15" t="inlineStr">
        <is>
          <t>Gains de change</t>
        </is>
      </c>
      <c r="C27" s="9" t="n"/>
      <c r="D27" s="9" t="n"/>
      <c r="E27" s="9">
        <f>C27+D27</f>
        <v/>
      </c>
      <c r="F27" s="9" t="n"/>
    </row>
    <row r="28" ht="18" customHeight="1" s="32">
      <c r="A28" s="84" t="n"/>
      <c r="B28" s="14" t="inlineStr">
        <is>
          <t>Intérêts et autres produits financiers</t>
        </is>
      </c>
      <c r="C28" s="11" t="n"/>
      <c r="D28" s="11" t="n"/>
      <c r="E28" s="11">
        <f>C28+D28</f>
        <v/>
      </c>
      <c r="F28" s="11" t="n"/>
    </row>
    <row r="29" ht="18" customHeight="1" s="32">
      <c r="A29" s="84" t="n"/>
      <c r="B29" s="15" t="inlineStr">
        <is>
          <t>Reprises financières : transferts de charges</t>
        </is>
      </c>
      <c r="C29" s="9" t="n"/>
      <c r="D29" s="9" t="n"/>
      <c r="E29" s="9">
        <f>C29+D29</f>
        <v/>
      </c>
      <c r="F29" s="9" t="n"/>
    </row>
    <row r="30" ht="18" customHeight="1" s="32">
      <c r="A30" s="84" t="n"/>
      <c r="B30" s="12" t="inlineStr">
        <is>
          <t>TOTAL IV - PRODUITS FINANCIERS</t>
        </is>
      </c>
      <c r="C30" s="13">
        <f>C26+C27+C28+C29</f>
        <v/>
      </c>
      <c r="D30" s="13">
        <f>D26+D27+D28+D29</f>
        <v/>
      </c>
      <c r="E30" s="13">
        <f>E26+E27+E28+E29</f>
        <v/>
      </c>
      <c r="F30" s="13">
        <f>F26+F27+F28+F29</f>
        <v/>
      </c>
    </row>
    <row r="31" ht="18" customHeight="1" s="32">
      <c r="A31" s="84" t="n"/>
      <c r="B31" s="30" t="inlineStr">
        <is>
          <t xml:space="preserve">  ▶  CHARGES FINANCIÈRES</t>
        </is>
      </c>
      <c r="C31" s="91" t="n"/>
      <c r="D31" s="91" t="n"/>
      <c r="E31" s="91" t="n"/>
      <c r="F31" s="76" t="n"/>
    </row>
    <row r="32" ht="18" customHeight="1" s="32">
      <c r="A32" s="84" t="n"/>
      <c r="B32" s="14" t="inlineStr">
        <is>
          <t>Charges d'intérêts</t>
        </is>
      </c>
      <c r="C32" s="11" t="n"/>
      <c r="D32" s="11" t="n"/>
      <c r="E32" s="11">
        <f>C32+D32</f>
        <v/>
      </c>
      <c r="F32" s="11" t="n"/>
    </row>
    <row r="33" ht="18" customHeight="1" s="32">
      <c r="A33" s="84" t="n"/>
      <c r="B33" s="15" t="inlineStr">
        <is>
          <t>Pertes de change</t>
        </is>
      </c>
      <c r="C33" s="9" t="n"/>
      <c r="D33" s="9" t="n"/>
      <c r="E33" s="9">
        <f>C33+D33</f>
        <v/>
      </c>
      <c r="F33" s="9" t="n"/>
    </row>
    <row r="34" ht="18" customHeight="1" s="32">
      <c r="A34" s="84" t="n"/>
      <c r="B34" s="14" t="inlineStr">
        <is>
          <t>Autres charges financières</t>
        </is>
      </c>
      <c r="C34" s="11" t="n"/>
      <c r="D34" s="11" t="n"/>
      <c r="E34" s="11">
        <f>C34+D34</f>
        <v/>
      </c>
      <c r="F34" s="11" t="n"/>
    </row>
    <row r="35" ht="18" customHeight="1" s="32">
      <c r="A35" s="84" t="n"/>
      <c r="B35" s="15" t="inlineStr">
        <is>
          <t>Dotations financières</t>
        </is>
      </c>
      <c r="C35" s="9" t="n"/>
      <c r="D35" s="9" t="n"/>
      <c r="E35" s="9">
        <f>C35+D35</f>
        <v/>
      </c>
      <c r="F35" s="9" t="n"/>
    </row>
    <row r="36" ht="18" customHeight="1" s="32">
      <c r="A36" s="84" t="n"/>
      <c r="B36" s="12" t="inlineStr">
        <is>
          <t>TOTAL V - CHARGES FINANCIÈRES</t>
        </is>
      </c>
      <c r="C36" s="13">
        <f>C32+C33+C34+C35</f>
        <v/>
      </c>
      <c r="D36" s="13">
        <f>D32+D33+D34+D35</f>
        <v/>
      </c>
      <c r="E36" s="13">
        <f>E32+E33+E34+E35</f>
        <v/>
      </c>
      <c r="F36" s="13">
        <f>F32+F33+F34+F35</f>
        <v/>
      </c>
    </row>
    <row r="37" ht="18" customHeight="1" s="32">
      <c r="A37" s="84" t="n"/>
      <c r="B37" s="12" t="inlineStr">
        <is>
          <t>RÉSULTAT FINANCIER (IV-V)</t>
        </is>
      </c>
      <c r="C37" s="13">
        <f>C30-C36</f>
        <v/>
      </c>
      <c r="D37" s="13">
        <f>D30-D36</f>
        <v/>
      </c>
      <c r="E37" s="13">
        <f>E30-E36</f>
        <v/>
      </c>
      <c r="F37" s="13">
        <f>F30-F36</f>
        <v/>
      </c>
    </row>
    <row r="38" ht="18" customHeight="1" s="32">
      <c r="A38" s="84" t="n"/>
      <c r="B38" s="12" t="inlineStr">
        <is>
          <t>RÉSULTAT COURANT (III+VI)</t>
        </is>
      </c>
      <c r="C38" s="92">
        <f>C24+C37</f>
        <v/>
      </c>
      <c r="D38" s="92">
        <f>D24+D37</f>
        <v/>
      </c>
      <c r="E38" s="92">
        <f>E24+E37</f>
        <v/>
      </c>
      <c r="F38" s="92">
        <f>F24+F37</f>
        <v/>
      </c>
    </row>
    <row r="39" ht="18" customHeight="1" s="32">
      <c r="A39" s="84" t="n"/>
      <c r="B39" s="30" t="inlineStr">
        <is>
          <t xml:space="preserve">  ▶  PRODUITS NON COURANTS</t>
        </is>
      </c>
      <c r="C39" s="91" t="n"/>
      <c r="D39" s="91" t="n"/>
      <c r="E39" s="91" t="n"/>
      <c r="F39" s="76" t="n"/>
    </row>
    <row r="40" ht="18" customHeight="1" s="32">
      <c r="A40" s="84" t="n"/>
      <c r="B40" s="14" t="inlineStr">
        <is>
          <t>Produits des cessions d'immobilisations</t>
        </is>
      </c>
      <c r="C40" s="11" t="n"/>
      <c r="D40" s="11" t="n"/>
      <c r="E40" s="11">
        <f>C40+D40</f>
        <v/>
      </c>
      <c r="F40" s="11" t="n"/>
    </row>
    <row r="41" ht="18" customHeight="1" s="32">
      <c r="A41" s="84" t="n"/>
      <c r="B41" s="15" t="inlineStr">
        <is>
          <t>Subventions d'équilibre</t>
        </is>
      </c>
      <c r="C41" s="9" t="n"/>
      <c r="D41" s="9" t="n"/>
      <c r="E41" s="9">
        <f>C41+D41</f>
        <v/>
      </c>
      <c r="F41" s="9" t="n"/>
    </row>
    <row r="42" ht="18" customHeight="1" s="32">
      <c r="A42" s="84" t="n"/>
      <c r="B42" s="14" t="inlineStr">
        <is>
          <t>Reprises sur subventions d'investissement</t>
        </is>
      </c>
      <c r="C42" s="11" t="n"/>
      <c r="D42" s="11" t="n"/>
      <c r="E42" s="11">
        <f>C42+D42</f>
        <v/>
      </c>
      <c r="F42" s="11" t="n"/>
    </row>
    <row r="43" ht="18" customHeight="1" s="32">
      <c r="A43" s="84" t="n"/>
      <c r="B43" s="15" t="inlineStr">
        <is>
          <t>Autres produits non courants</t>
        </is>
      </c>
      <c r="C43" s="9" t="n"/>
      <c r="D43" s="9" t="n"/>
      <c r="E43" s="9">
        <f>C43+D43</f>
        <v/>
      </c>
      <c r="F43" s="9" t="n"/>
    </row>
    <row r="44" ht="18" customHeight="1" s="32">
      <c r="A44" s="84" t="n"/>
      <c r="B44" s="14" t="inlineStr">
        <is>
          <t>Reprises non courantes ; transferts de charges</t>
        </is>
      </c>
      <c r="C44" s="11" t="n"/>
      <c r="D44" s="11" t="n"/>
      <c r="E44" s="11">
        <f>C44+D44</f>
        <v/>
      </c>
      <c r="F44" s="11" t="n"/>
    </row>
    <row r="45" ht="18" customHeight="1" s="32">
      <c r="A45" s="84" t="n"/>
      <c r="B45" s="12" t="inlineStr">
        <is>
          <t>TOTAL VIII - PRODUITS NON COURANTS</t>
        </is>
      </c>
      <c r="C45" s="13">
        <f>C40+C41+C42+C43+C44</f>
        <v/>
      </c>
      <c r="D45" s="13">
        <f>D40+D41+D42+D43+D44</f>
        <v/>
      </c>
      <c r="E45" s="13">
        <f>E40+E41+E42+E43+E44</f>
        <v/>
      </c>
      <c r="F45" s="13">
        <f>F40+F41+F42+F43+F44</f>
        <v/>
      </c>
    </row>
    <row r="46" ht="18" customHeight="1" s="32">
      <c r="A46" s="84" t="n"/>
      <c r="B46" s="30" t="inlineStr">
        <is>
          <t xml:space="preserve">  ▶  CHARGES NON COURANTS</t>
        </is>
      </c>
      <c r="C46" s="91" t="n"/>
      <c r="D46" s="91" t="n"/>
      <c r="E46" s="91" t="n"/>
      <c r="F46" s="76" t="n"/>
    </row>
    <row r="47" ht="18" customHeight="1" s="32">
      <c r="A47" s="84" t="n"/>
      <c r="B47" s="15" t="inlineStr">
        <is>
          <t>Val. nettes d'amort. des immobilisations cédées</t>
        </is>
      </c>
      <c r="C47" s="9" t="n"/>
      <c r="D47" s="9" t="n"/>
      <c r="E47" s="9">
        <f>C47+D47</f>
        <v/>
      </c>
      <c r="F47" s="9" t="n"/>
    </row>
    <row r="48" ht="18" customHeight="1" s="32">
      <c r="A48" s="84" t="n"/>
      <c r="B48" s="14" t="inlineStr">
        <is>
          <t>Subventions accordées</t>
        </is>
      </c>
      <c r="C48" s="11" t="n"/>
      <c r="D48" s="11" t="n"/>
      <c r="E48" s="11">
        <f>C48+D48</f>
        <v/>
      </c>
      <c r="F48" s="11" t="n"/>
    </row>
    <row r="49" ht="18" customHeight="1" s="32">
      <c r="A49" s="84" t="n"/>
      <c r="B49" s="15" t="inlineStr">
        <is>
          <t>Autres charges non courantes</t>
        </is>
      </c>
      <c r="C49" s="9" t="n"/>
      <c r="D49" s="9" t="n"/>
      <c r="E49" s="9">
        <f>C49+D49</f>
        <v/>
      </c>
      <c r="F49" s="9" t="n"/>
    </row>
    <row r="50" ht="18" customHeight="1" s="32">
      <c r="A50" s="84" t="n"/>
      <c r="B50" s="14" t="inlineStr">
        <is>
          <t>Dotations non courantes aux amort. et provisions</t>
        </is>
      </c>
      <c r="C50" s="11" t="n"/>
      <c r="D50" s="11" t="n"/>
      <c r="E50" s="11">
        <f>C50+D50</f>
        <v/>
      </c>
      <c r="F50" s="11" t="n"/>
    </row>
    <row r="51" ht="18" customHeight="1" s="32">
      <c r="A51" s="84" t="n"/>
      <c r="B51" s="12" t="inlineStr">
        <is>
          <t>TOTAL IX - CHARGES NON COURANTS</t>
        </is>
      </c>
      <c r="C51" s="13">
        <f>C47+C48+C49+C50</f>
        <v/>
      </c>
      <c r="D51" s="13">
        <f>D47+D48+D49+D50</f>
        <v/>
      </c>
      <c r="E51" s="13">
        <f>E47+E48+E49+E50</f>
        <v/>
      </c>
      <c r="F51" s="13">
        <f>F47+F48+F49+F50</f>
        <v/>
      </c>
    </row>
    <row r="52" ht="18" customHeight="1" s="32">
      <c r="A52" s="84" t="n"/>
      <c r="B52" s="12" t="inlineStr">
        <is>
          <t>RÉSULTAT NON COURANT (VIII-IX)</t>
        </is>
      </c>
      <c r="C52" s="92">
        <f>C45-C51</f>
        <v/>
      </c>
      <c r="D52" s="92">
        <f>D45-D51</f>
        <v/>
      </c>
      <c r="E52" s="92">
        <f>E45-E51</f>
        <v/>
      </c>
      <c r="F52" s="92">
        <f>F45-F51</f>
        <v/>
      </c>
    </row>
    <row r="53" ht="18" customHeight="1" s="32">
      <c r="A53" s="84" t="n"/>
      <c r="B53" s="12" t="inlineStr">
        <is>
          <t>RÉSULTAT AVANT IMPÔTS (VII+X)</t>
        </is>
      </c>
      <c r="C53" s="92">
        <f>C38+C52</f>
        <v/>
      </c>
      <c r="D53" s="92">
        <f>D38+D52</f>
        <v/>
      </c>
      <c r="E53" s="92">
        <f>E38+E52</f>
        <v/>
      </c>
      <c r="F53" s="92">
        <f>F38+F52</f>
        <v/>
      </c>
    </row>
    <row r="54" ht="18" customHeight="1" s="32">
      <c r="A54" s="84" t="n"/>
      <c r="B54" s="12" t="inlineStr">
        <is>
          <t>IMPÔTS SUR LES BÉNÉFICES</t>
        </is>
      </c>
      <c r="C54" s="13" t="n"/>
      <c r="D54" s="13" t="n"/>
      <c r="E54" s="13">
        <f>C54+D54</f>
        <v/>
      </c>
      <c r="F54" s="13" t="n"/>
    </row>
    <row r="55" ht="18" customHeight="1" s="32">
      <c r="A55" s="84" t="n"/>
      <c r="B55" s="12" t="inlineStr">
        <is>
          <t>RÉSULTAT NET (XI-XII)</t>
        </is>
      </c>
      <c r="C55" s="13">
        <f>C53-C54</f>
        <v/>
      </c>
      <c r="D55" s="13">
        <f>D53-D54</f>
        <v/>
      </c>
      <c r="E55" s="13">
        <f>E53-E54</f>
        <v/>
      </c>
      <c r="F55" s="13">
        <f>F53-F54</f>
        <v/>
      </c>
    </row>
    <row r="56" ht="18" customHeight="1" s="32">
      <c r="B56" s="12" t="inlineStr">
        <is>
          <t>TOTAL DES PRODUITS (I+IV+VIII)</t>
        </is>
      </c>
      <c r="C56" s="13">
        <f>C14+C30+C45</f>
        <v/>
      </c>
      <c r="D56" s="13">
        <f>D14+D30+D45</f>
        <v/>
      </c>
      <c r="E56" s="13">
        <f>E14+E30+E45</f>
        <v/>
      </c>
      <c r="F56" s="13">
        <f>F14+F30+F45</f>
        <v/>
      </c>
    </row>
    <row r="57" ht="18" customHeight="1" s="32">
      <c r="B57" s="12" t="inlineStr">
        <is>
          <t>TOTAL DES CHARGES (II+V+IX+XIII)</t>
        </is>
      </c>
      <c r="C57" s="13">
        <f>C23+C36+C51+C54</f>
        <v/>
      </c>
      <c r="D57" s="13">
        <f>D23+D36+D51+D54</f>
        <v/>
      </c>
      <c r="E57" s="13">
        <f>E23+E36+E51+E54</f>
        <v/>
      </c>
      <c r="F57" s="13">
        <f>F23+F36+F51+F54</f>
        <v/>
      </c>
    </row>
    <row r="58" ht="18" customHeight="1" s="32">
      <c r="B58" s="12" t="inlineStr">
        <is>
          <t>RÉSULTAT NET (Total produits - Total charges)</t>
        </is>
      </c>
      <c r="C58" s="13">
        <f>C56-C57</f>
        <v/>
      </c>
      <c r="D58" s="13">
        <f>D56-D57</f>
        <v/>
      </c>
      <c r="E58" s="13">
        <f>E56-E57</f>
        <v/>
      </c>
      <c r="F58" s="13">
        <f>F56-F57</f>
        <v/>
      </c>
    </row>
  </sheetData>
  <mergeCells count="14">
    <mergeCell ref="A5:A55"/>
    <mergeCell ref="B39:F39"/>
    <mergeCell ref="E2:F2"/>
    <mergeCell ref="B15:F15"/>
    <mergeCell ref="E1:F1"/>
    <mergeCell ref="B25:F25"/>
    <mergeCell ref="E3:E4"/>
    <mergeCell ref="B3:B4"/>
    <mergeCell ref="B5:F5"/>
    <mergeCell ref="F3:F4"/>
    <mergeCell ref="B31:F31"/>
    <mergeCell ref="B46:F46"/>
    <mergeCell ref="C1:C2"/>
    <mergeCell ref="C3:D3"/>
  </mergeCells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10" defaultColWidth="8.88671875" defaultRowHeight="14.4"/>
  <cols>
    <col width="42" customWidth="1" style="32" min="1" max="1"/>
    <col width="22" customWidth="1" style="32" min="2" max="4"/>
    <col width="8" customWidth="1" style="32" min="5" max="5"/>
  </cols>
  <sheetData>
    <row r="1" ht="37.95" customHeight="1" s="32">
      <c r="A1" s="29" t="inlineStr">
        <is>
          <t>TABLEAU DE BORD — SYNTHÈSE FINANCIÈRE</t>
        </is>
      </c>
      <c r="B1" s="91" t="n"/>
      <c r="C1" s="91" t="n"/>
      <c r="D1" s="91" t="n"/>
      <c r="E1" s="76" t="n"/>
    </row>
    <row r="2" ht="25.95" customHeight="1" s="32">
      <c r="A2" s="27" t="inlineStr">
        <is>
          <t>AGENCE DU BASSIN HYDRAULIQUE DU SEBOU</t>
        </is>
      </c>
      <c r="B2" s="91" t="n"/>
      <c r="C2" s="91" t="n"/>
      <c r="D2" s="91" t="n"/>
      <c r="E2" s="76" t="n"/>
    </row>
    <row r="3" ht="25.95" customHeight="1" s="32">
      <c r="A3" s="1" t="inlineStr">
        <is>
          <t>INDICATEUR</t>
        </is>
      </c>
      <c r="B3" s="1" t="inlineStr">
        <is>
          <t>EXERCICE N</t>
        </is>
      </c>
      <c r="C3" s="1" t="inlineStr">
        <is>
          <t>EXERCICE N-1</t>
        </is>
      </c>
      <c r="D3" s="1" t="inlineStr">
        <is>
          <t>Δ (N vs N-1)</t>
        </is>
      </c>
      <c r="E3" s="1" t="inlineStr">
        <is>
          <t>Unité</t>
        </is>
      </c>
    </row>
    <row r="4" ht="24" customHeight="1" s="32">
      <c r="A4" s="31" t="inlineStr">
        <is>
          <t>📈 COMPTE DE RÉSULTATS</t>
        </is>
      </c>
      <c r="B4" s="91" t="n"/>
      <c r="C4" s="91" t="n"/>
      <c r="D4" s="91" t="n"/>
      <c r="E4" s="76" t="n"/>
    </row>
    <row r="5" ht="22.05" customHeight="1" s="32">
      <c r="A5" s="16" t="inlineStr">
        <is>
          <t>Chiffre d'affaires</t>
        </is>
      </c>
      <c r="B5" s="17">
        <f>'4 - CPC'!E8</f>
        <v/>
      </c>
      <c r="C5" s="17">
        <f>'4 - CPC'!F8</f>
        <v/>
      </c>
      <c r="D5" s="17">
        <f>B5-C5</f>
        <v/>
      </c>
      <c r="E5" s="18" t="inlineStr">
        <is>
          <t>MAD</t>
        </is>
      </c>
    </row>
    <row r="6" ht="22.05" customHeight="1" s="32">
      <c r="A6" s="19" t="inlineStr">
        <is>
          <t>Produits d'exploitation</t>
        </is>
      </c>
      <c r="B6" s="20">
        <f>'4 - CPC'!E14</f>
        <v/>
      </c>
      <c r="C6" s="20">
        <f>'4 - CPC'!F14</f>
        <v/>
      </c>
      <c r="D6" s="20">
        <f>B6-C6</f>
        <v/>
      </c>
      <c r="E6" s="21" t="inlineStr">
        <is>
          <t>MAD</t>
        </is>
      </c>
    </row>
    <row r="7" ht="22.05" customHeight="1" s="32">
      <c r="A7" s="16" t="inlineStr">
        <is>
          <t>Charges d'exploitation</t>
        </is>
      </c>
      <c r="B7" s="17">
        <f>'4 - CPC'!E23</f>
        <v/>
      </c>
      <c r="C7" s="17">
        <f>'4 - CPC'!F23</f>
        <v/>
      </c>
      <c r="D7" s="17">
        <f>B7-C7</f>
        <v/>
      </c>
      <c r="E7" s="18" t="inlineStr">
        <is>
          <t>MAD</t>
        </is>
      </c>
    </row>
    <row r="8" ht="22.05" customHeight="1" s="32">
      <c r="A8" s="19" t="inlineStr">
        <is>
          <t>Résultat d'exploitation</t>
        </is>
      </c>
      <c r="B8" s="20">
        <f>'4 - CPC'!E24</f>
        <v/>
      </c>
      <c r="C8" s="20">
        <f>'4 - CPC'!F24</f>
        <v/>
      </c>
      <c r="D8" s="20">
        <f>B8-C8</f>
        <v/>
      </c>
      <c r="E8" s="21" t="inlineStr">
        <is>
          <t>MAD</t>
        </is>
      </c>
    </row>
    <row r="9" ht="22.05" customHeight="1" s="32">
      <c r="A9" s="16" t="inlineStr">
        <is>
          <t>Résultat financier</t>
        </is>
      </c>
      <c r="B9" s="17">
        <f>'4 - CPC'!E37</f>
        <v/>
      </c>
      <c r="C9" s="17">
        <f>'4 - CPC'!F37</f>
        <v/>
      </c>
      <c r="D9" s="17">
        <f>B9-C9</f>
        <v/>
      </c>
      <c r="E9" s="18" t="inlineStr">
        <is>
          <t>MAD</t>
        </is>
      </c>
    </row>
    <row r="10" ht="22.05" customHeight="1" s="32">
      <c r="A10" s="19" t="inlineStr">
        <is>
          <t>Résultat courant</t>
        </is>
      </c>
      <c r="B10" s="20">
        <f>'4 - CPC'!E38</f>
        <v/>
      </c>
      <c r="C10" s="20">
        <f>'4 - CPC'!F38</f>
        <v/>
      </c>
      <c r="D10" s="20">
        <f>B10-C10</f>
        <v/>
      </c>
      <c r="E10" s="21" t="inlineStr">
        <is>
          <t>MAD</t>
        </is>
      </c>
    </row>
    <row r="11" ht="22.05" customHeight="1" s="32">
      <c r="A11" s="16" t="inlineStr">
        <is>
          <t>Résultat net de l'exercice</t>
        </is>
      </c>
      <c r="B11" s="17">
        <f>'4 - CPC'!E55</f>
        <v/>
      </c>
      <c r="C11" s="17">
        <f>'4 - CPC'!F55</f>
        <v/>
      </c>
      <c r="D11" s="17">
        <f>B11-C11</f>
        <v/>
      </c>
      <c r="E11" s="18" t="inlineStr">
        <is>
          <t>MAD</t>
        </is>
      </c>
    </row>
    <row r="12" ht="24" customHeight="1" s="32">
      <c r="A12" s="31" t="inlineStr">
        <is>
          <t>📊 BILAN — ACTIF</t>
        </is>
      </c>
      <c r="B12" s="91" t="n"/>
      <c r="C12" s="91" t="n"/>
      <c r="D12" s="91" t="n"/>
      <c r="E12" s="76" t="n"/>
    </row>
    <row r="13" ht="22.05" customHeight="1" s="32">
      <c r="A13" s="16" t="inlineStr">
        <is>
          <t>Actif immobilisé net</t>
        </is>
      </c>
      <c r="B13" s="17">
        <f>'2 - Bilan Actif'!E30</f>
        <v/>
      </c>
      <c r="C13" s="17">
        <f>'2 - Bilan Actif'!F30</f>
        <v/>
      </c>
      <c r="D13" s="17">
        <f>B13-C13</f>
        <v/>
      </c>
      <c r="E13" s="18" t="inlineStr">
        <is>
          <t>MAD</t>
        </is>
      </c>
    </row>
    <row r="14" ht="22.05" customHeight="1" s="32">
      <c r="A14" s="19" t="inlineStr">
        <is>
          <t>Actif circulant net</t>
        </is>
      </c>
      <c r="B14" s="20">
        <f>'2 - Bilan Actif'!E47</f>
        <v/>
      </c>
      <c r="C14" s="20">
        <f>'2 - Bilan Actif'!F47</f>
        <v/>
      </c>
      <c r="D14" s="20">
        <f>B14-C14</f>
        <v/>
      </c>
      <c r="E14" s="21" t="inlineStr">
        <is>
          <t>MAD</t>
        </is>
      </c>
    </row>
    <row r="15" ht="22.05" customHeight="1" s="32">
      <c r="A15" s="16" t="inlineStr">
        <is>
          <t>Trésorerie actif</t>
        </is>
      </c>
      <c r="B15" s="17">
        <f>'2 - Bilan Actif'!E51</f>
        <v/>
      </c>
      <c r="C15" s="17">
        <f>'2 - Bilan Actif'!F51</f>
        <v/>
      </c>
      <c r="D15" s="17">
        <f>B15-C15</f>
        <v/>
      </c>
      <c r="E15" s="18" t="inlineStr">
        <is>
          <t>MAD</t>
        </is>
      </c>
    </row>
    <row r="16" ht="22.05" customHeight="1" s="32">
      <c r="A16" s="19" t="inlineStr">
        <is>
          <t>TOTAL GÉNÉRAL ACTIF</t>
        </is>
      </c>
      <c r="B16" s="20">
        <f>'2 - Bilan Actif'!E52</f>
        <v/>
      </c>
      <c r="C16" s="20">
        <f>'2 - Bilan Actif'!F52</f>
        <v/>
      </c>
      <c r="D16" s="20">
        <f>B16-C16</f>
        <v/>
      </c>
      <c r="E16" s="21" t="inlineStr">
        <is>
          <t>MAD</t>
        </is>
      </c>
    </row>
    <row r="17" ht="24" customHeight="1" s="32">
      <c r="A17" s="31" t="inlineStr">
        <is>
          <t>📊 BILAN — PASSIF</t>
        </is>
      </c>
      <c r="B17" s="91" t="n"/>
      <c r="C17" s="91" t="n"/>
      <c r="D17" s="91" t="n"/>
      <c r="E17" s="76" t="n"/>
    </row>
    <row r="18" ht="22.05" customHeight="1" s="32">
      <c r="A18" s="19" t="inlineStr">
        <is>
          <t>Capitaux propres</t>
        </is>
      </c>
      <c r="B18" s="20">
        <f>'3 - Bilan Passif'!C16</f>
        <v/>
      </c>
      <c r="C18" s="20">
        <f>'3 - Bilan Passif'!D16</f>
        <v/>
      </c>
      <c r="D18" s="20">
        <f>B18-C18</f>
        <v/>
      </c>
      <c r="E18" s="21" t="inlineStr">
        <is>
          <t>MAD</t>
        </is>
      </c>
    </row>
    <row r="19" ht="22.05" customHeight="1" s="32">
      <c r="A19" s="16" t="inlineStr">
        <is>
          <t>Subventions d'investissement</t>
        </is>
      </c>
      <c r="B19" s="17">
        <f>'3 - Bilan Passif'!C18</f>
        <v/>
      </c>
      <c r="C19" s="17">
        <f>'3 - Bilan Passif'!D18</f>
        <v/>
      </c>
      <c r="D19" s="17">
        <f>B19-C19</f>
        <v/>
      </c>
      <c r="E19" s="18" t="inlineStr">
        <is>
          <t>MAD</t>
        </is>
      </c>
    </row>
    <row r="20" ht="22.05" customHeight="1" s="32">
      <c r="A20" s="19" t="inlineStr">
        <is>
          <t>Financement permanent</t>
        </is>
      </c>
      <c r="B20" s="20">
        <f>'3 - Bilan Passif'!C29</f>
        <v/>
      </c>
      <c r="C20" s="20">
        <f>'3 - Bilan Passif'!D29</f>
        <v/>
      </c>
      <c r="D20" s="20">
        <f>B20-C20</f>
        <v/>
      </c>
      <c r="E20" s="21" t="inlineStr">
        <is>
          <t>MAD</t>
        </is>
      </c>
    </row>
    <row r="21" ht="22.05" customHeight="1" s="32">
      <c r="A21" s="16" t="inlineStr">
        <is>
          <t>TOTAL GÉNÉRAL PASSIF</t>
        </is>
      </c>
      <c r="B21" s="17">
        <f>'3 - Bilan Passif'!C46</f>
        <v/>
      </c>
      <c r="C21" s="17">
        <f>'3 - Bilan Passif'!D46</f>
        <v/>
      </c>
      <c r="D21" s="17">
        <f>B21-C21</f>
        <v/>
      </c>
      <c r="E21" s="18" t="inlineStr">
        <is>
          <t>MAD</t>
        </is>
      </c>
    </row>
  </sheetData>
  <mergeCells count="5">
    <mergeCell ref="A12:E12"/>
    <mergeCell ref="A4:E4"/>
    <mergeCell ref="A2:E2"/>
    <mergeCell ref="A1:E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2026-03-25T11:08:42Z</dcterms:created>
  <dcterms:modified xmlns:dcterms="http://purl.org/dc/terms/" xmlns:xsi="http://www.w3.org/2001/XMLSchema-instance" xsi:type="dcterms:W3CDTF">2026-03-29T20:11:45Z</dcterms:modified>
  <cp:lastModifiedBy>G H</cp:lastModifiedBy>
</cp:coreProperties>
</file>